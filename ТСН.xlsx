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фты" sheetId="1" state="visible" r:id="rId1"/>
    <s:sheet name="Расходы" sheetId="2" state="visible" r:id="rId2"/>
    <s:sheet name="Заявки" sheetId="3" state="visible" r:id="rId3"/>
    <s:sheet name="Письма" sheetId="4" state="visible" r:id="rId4"/>
    <s:sheet name="Выполненые работы" sheetId="5" state="visible" r:id="rId5"/>
    <s:sheet name="Задачи1" sheetId="6" state="visible" r:id="rId6"/>
    <s:sheet name="Лист1" sheetId="7" state="visible" r:id="rId7"/>
    <s:sheet name="Дашборд" sheetId="8" state="visible" r:id="rId8"/>
    <s:sheet name="Задачи" sheetId="9" state="visible" r:id="rId9"/>
    <s:sheet name="Оценочный лист" sheetId="10" state="visible" r:id="rId10"/>
    <s:sheet name="Переписка" sheetId="11" state="visible" r:id="rId11"/>
    <s:sheet name="Финансы" sheetId="12" state="visible" r:id="rId12"/>
  </s:sheets>
  <s:calcPr calcId="181029"/>
</s:workbook>
</file>

<file path=xl/sharedStrings.xml><?xml version="1.0" encoding="utf-8"?>
<s:sst xmlns:s="http://schemas.openxmlformats.org/spreadsheetml/2006/main">
  <s:si>
    <s:t>Застряли в лифте</s:t>
  </s:si>
  <s:si>
    <s:t>Екатерина</s:t>
  </s:si>
  <s:si>
    <s:t xml:space="preserve">Екатерина 130 кв. </s:t>
  </s:si>
  <s:si>
    <s:t>Сработал автомат в ВРУ во 2 подъезде на 1 этаже</s:t>
  </s:si>
  <s:si>
    <s:t>Нет электричества в машинном отделении</s:t>
  </s:si>
  <s:si>
    <s:t>Включили автомат обратно</s:t>
  </s:si>
  <s:si>
    <s:t>Елнара 71</s:t>
  </s:si>
  <s:si>
    <s:t>Девочки застряли в лифте</s:t>
  </s:si>
  <s:si>
    <s:t>Ошиька F44</s:t>
  </s:si>
  <s:si>
    <s:t>Ошибка F44</s:t>
  </s:si>
  <s:si>
    <s:t xml:space="preserve">Сработала защита. </s:t>
  </s:si>
  <s:si>
    <s:t>Вытащили девченок дочери Аракси и Эльнары. Переключили флажок тормоза на первом этаже</s:t>
  </s:si>
  <s:si>
    <s:t>Лехе за замену ремня 1 подъезде</s:t>
  </s:si>
  <s:si>
    <s:t>Услуги дворника</s:t>
  </s:si>
  <s:si>
    <s:t xml:space="preserve">Комиссия Т-инвестиции </s:t>
  </s:si>
  <s:si>
    <s:t>2 лампы и изолента</s:t>
  </s:si>
  <s:si>
    <s:t>2 светильника</s:t>
  </s:si>
  <s:si>
    <s:t>ЕМС в Госжилинспекцию</s:t>
  </s:si>
  <s:si>
    <s:t>Конверт на почте</s:t>
  </s:si>
  <s:si>
    <s:t>Лехе и егг лругу за лифт в 3 подъезде</s:t>
  </s:si>
  <s:si>
    <s:t>Кофе, Кружка, вафли</s:t>
  </s:si>
  <s:si>
    <s:t>Картридж NS-CF283A</s:t>
  </s:si>
  <s:si>
    <s:t>Бумага и папка</s:t>
  </s:si>
  <s:si>
    <s:t>Лехе на пиво</s:t>
  </s:si>
  <s:si>
    <s:t>Лехе за работу</s:t>
  </s:si>
  <s:si>
    <s:t>Лехе за клей</s:t>
  </s:si>
  <s:si>
    <s:t>Тарасу за лифт в 1 п</s:t>
  </s:si>
  <s:si>
    <s:t>Володе сантехнику зс устранение засора</s:t>
  </s:si>
  <s:si>
    <s:t>13.07.0206</s:t>
  </s:si>
  <s:si>
    <s:t>Ключ в подвал</s:t>
  </s:si>
  <s:si>
    <s:t>Письмо в УК</s:t>
  </s:si>
  <s:si>
    <s:t>Конверт для УК</s:t>
  </s:si>
  <s:si>
    <s:t>Бандероль в ГЖИ</s:t>
  </s:si>
  <s:si>
    <s:t>Пакет для бандероли в ГЖИ</s:t>
  </s:si>
  <s:si>
    <s:t>Бумага</s:t>
  </s:si>
  <s:si>
    <s:t>Анна</s:t>
  </s:si>
  <s:si>
    <s:t>Запах канализации в подъезде</s:t>
  </s:si>
  <s:si>
    <s:t>Не работает лифт 3 подъезд в 8:52</s:t>
  </s:si>
  <s:si>
    <s:t>Гульнур</s:t>
  </s:si>
  <s:si>
    <s:t>Не работает лифт 1 подъезд в 6:40</s:t>
  </s:si>
  <s:si>
    <s:t>Замена тормозных колодок лифта 1 подъезда</s:t>
  </s:si>
  <s:si>
    <s:t>Регулировка тормозных колодок лифта 1 подъезда</s:t>
  </s:si>
  <s:si>
    <s:t>Прочистка северного стояка 3 подъезда</s:t>
  </s:si>
  <s:si>
    <s:t>Перезапуск лифта 1 подъезда. Выявлен дефект</s:t>
  </s:si>
  <s:si>
    <s:t>Перезапуск лифта 3 подъезда</s:t>
  </s:si>
  <s:si>
    <s:t>Налоговая</s:t>
  </s:si>
  <s:si>
    <s:t>ГЖИ</s:t>
  </s:si>
  <s:si>
    <s:t>УТВиВ</s:t>
  </s:si>
  <s:si>
    <s:t>Администрация</s:t>
  </s:si>
  <s:si>
    <s:t xml:space="preserve">Администрация </s:t>
  </s:si>
  <s:si>
    <s:t>04.09.0226</s:t>
  </s:si>
  <s:si>
    <s:t>5-3</s:t>
  </s:si>
  <s:si>
    <s:t>5-2</s:t>
  </s:si>
  <s:si>
    <s:t>5-1</s:t>
  </s:si>
  <s:si>
    <s:t>1-1</s:t>
  </s:si>
  <s:si>
    <s:t>2-1</s:t>
  </s:si>
  <s:si>
    <s:t>2-2</s:t>
  </s:si>
  <s:si>
    <s:t>3-1</s:t>
  </s:si>
  <s:si>
    <s:t>3-2</s:t>
  </s:si>
  <s:si>
    <s:t>3-3</s:t>
  </s:si>
  <s:si>
    <s:t>3-4</s:t>
  </s:si>
  <s:si>
    <s:t>Выполненые работы</s:t>
  </s:si>
  <s:si>
    <s:t>Леха</s:t>
  </s:si>
  <s:si>
    <s:t>Андрей электрик</s:t>
  </s:si>
  <s:si>
    <s:t>Договор с РКЦ</s:t>
  </s:si>
  <s:si>
    <s:t>Договор с УТВиВ</s:t>
  </s:si>
  <s:si>
    <s:t>Договор с ГЭТ</s:t>
  </s:si>
  <s:si>
    <s:t>Письмо в администрацию по актам</s:t>
  </s:si>
  <s:si>
    <s:t>Протокол разногласий</s:t>
  </s:si>
  <s:si>
    <s:t>ДАШБОРД ТСН «СОЛНЕЧНЫЙ»</s:t>
  </s:si>
  <s:si>
    <s:t>(заголовок)</s:t>
  </s:si>
  <s:si>
    <s:t>A2</s:t>
  </s:si>
  <s:si>
    <s:t>Дата обновления</s:t>
  </s:si>
  <s:si>
    <s:t>A4</s:t>
  </s:si>
  <s:si>
    <s:t>БЛОК 1. ЗАДАЧИ</s:t>
  </s:si>
  <s:si>
    <s:t>A5</s:t>
  </s:si>
  <s:si>
    <s:t>Всего задач</s:t>
  </s:si>
  <s:si>
    <s:t>A6</s:t>
  </s:si>
  <s:si>
    <s:t>Просрочено</s:t>
  </s:si>
  <s:si>
    <s:t>A7</s:t>
  </s:si>
  <s:si>
    <s:t>На сегодня</s:t>
  </s:si>
  <s:si>
    <s:t>A8</s:t>
  </s:si>
  <s:si>
    <s:t>В работе</s:t>
  </s:si>
  <s:si>
    <s:t>A9</s:t>
  </s:si>
  <s:si>
    <s:t>Готово</s:t>
  </s:si>
  <s:si>
    <s:t>A11</s:t>
  </s:si>
  <s:si>
    <s:t>БЛОК 2. ПОДГОТОВКА К ЗИМЕ</s:t>
  </s:si>
  <s:si>
    <s:t>A12</s:t>
  </s:si>
  <s:si>
    <s:t>Собрано документов</s:t>
  </s:si>
  <s:si>
    <s:t>A13</s:t>
  </s:si>
  <s:si>
    <s:t>Всего документов</s:t>
  </s:si>
  <s:si>
    <s:t>A14</s:t>
  </s:si>
  <s:si>
    <s:t>Процент готовности</s:t>
  </s:si>
  <s:si>
    <s:t>A16</s:t>
  </s:si>
  <s:si>
    <s:t>БЛОК 3. ПЕРЕПИСКА</s:t>
  </s:si>
  <s:si>
    <s:t>A17</s:t>
  </s:si>
  <s:si>
    <s:t>Входящих всего</s:t>
  </s:si>
  <s:si>
    <s:t>A18</s:t>
  </s:si>
  <s:si>
    <s:t>Ожидают ответа</s:t>
  </s:si>
  <s:si>
    <s:t>A20</s:t>
  </s:si>
  <s:si>
    <s:t>БЛОК 4. ФИНАНСЫ</s:t>
  </s:si>
  <s:si>
    <s:t>A21</s:t>
  </s:si>
  <s:si>
    <s:t>Остаток на счёте</s:t>
  </s:si>
  <s:si>
    <s:t>(вводите вручную)</s:t>
  </s:si>
  <s:si>
    <s:t>A22</s:t>
  </s:si>
  <s:si>
    <s:t>Задолженность жильцов</s:t>
  </s:si>
  <s:si>
    <s:t>A23</s:t>
  </s:si>
  <s:si>
    <s:t>К оплате подрядчикам</s:t>
  </s:si>
  <s:si>
    <s:t>№</s:t>
  </s:si>
  <s:si>
    <s:t>Задача</s:t>
  </s:si>
  <s:si>
    <s:t>Тип</s:t>
  </s:si>
  <s:si>
    <s:t>Срок</s:t>
  </s:si>
  <s:si>
    <s:t>Статус</s:t>
  </s:si>
  <s:si>
    <s:t>Ответственный</s:t>
  </s:si>
  <s:si>
    <s:t>Комментарий</s:t>
  </s:si>
  <s:si>
    <s:t>Подписать акт с УТВиВ</s:t>
  </s:si>
  <s:si>
    <s:t>С</s:t>
  </s:si>
  <s:si>
    <s:t>Я</s:t>
  </s:si>
  <s:si>
    <s:t>Ждём подпись</s:t>
  </s:si>
  <s:si>
    <s:t>Заполнить оценочный лист</s:t>
  </s:si>
  <s:si>
    <s:t>В</s:t>
  </s:si>
  <s:si>
    <s:t>Не начато</s:t>
  </s:si>
  <s:si>
    <s:t>Ответить жильцу по мусору</s:t>
  </s:si>
  <s:si>
    <s:t>Р</s:t>
  </s:si>
  <s:si>
    <s:t>Наименование документа</s:t>
  </s:si>
  <s:si>
    <s:t>Наличие (Да/Нет)</s:t>
  </s:si>
  <s:si>
    <s:t>1.1.1</s:t>
  </s:si>
  <s:si>
    <s:t>Акт промывки</s:t>
  </s:si>
  <s:si>
    <s:t>Да</s:t>
  </s:si>
  <s:si>
    <s:t>1.1.2</s:t>
  </s:si>
  <s:si>
    <s:t>Акт наладки режимов</s:t>
  </s:si>
  <s:si>
    <s:t>1.1.3</s:t>
  </s:si>
  <s:si>
    <s:t>Акт осмотра арматуры</s:t>
  </s:si>
  <s:si>
    <s:t>1.1.4</s:t>
  </s:si>
  <s:si>
    <s:t>Приказ о назначении ответственного</s:t>
  </s:si>
  <s:si>
    <s:t>1.1.5</s:t>
  </s:si>
  <s:si>
    <s:t>Акт гидравлических испытаний</s:t>
  </s:si>
  <s:si>
    <s:t>1.1.6</s:t>
  </s:si>
  <s:si>
    <s:t>Перечень инструкций для ОПО</s:t>
  </s:si>
  <s:si>
    <s:t>1.1.7</s:t>
  </s:si>
  <s:si>
    <s:t>Эксплуатационные инструкции</s:t>
  </s:si>
  <s:si>
    <s:t>1.1.8</s:t>
  </s:si>
  <s:si>
    <s:t>Паспорт теплового пункта</s:t>
  </s:si>
  <s:si>
    <s:t>1.1.9</s:t>
  </s:si>
  <s:si>
    <s:t>Штатное расписание / договоры</s:t>
  </s:si>
  <s:si>
    <s:t>Проверка регуляторов</s:t>
  </s:si>
  <s:si>
    <s:t>1.2.1</s:t>
  </s:si>
  <s:si>
    <s:t>Акт осмотра на врезки</s:t>
  </s:si>
  <s:si>
    <s:t>1.2.2</s:t>
  </s:si>
  <s:si>
    <s:t>Акт проверки готовности (с РСО)</s:t>
  </s:si>
  <s:si>
    <s:t>Нет</s:t>
  </s:si>
  <s:si>
    <s:t>1.3.1</s:t>
  </s:si>
  <s:si>
    <s:t>Договор теплоснабжения</s:t>
  </s:si>
  <s:si>
    <s:t>1.3.2</s:t>
  </s:si>
  <s:si>
    <s:t>Акт сверки расчётов</s:t>
  </s:si>
  <s:si>
    <s:t>1.4.1</s:t>
  </s:si>
  <s:si>
    <s:t>Акт проверки узла учёта</s:t>
  </s:si>
  <s:si>
    <s:t>1.4.2</s:t>
  </s:si>
  <s:si>
    <s:t>Акт проверки КИП</s:t>
  </s:si>
  <s:si>
    <s:t>Акт по тепловому контуру</s:t>
  </s:si>
  <s:si>
    <s:t>Акт дезинфекции</s:t>
  </s:si>
  <s:si>
    <s:t>Газовое оборудование</s:t>
  </s:si>
  <s:si>
    <s:t>Предписания</s:t>
  </s:si>
  <s:si>
    <s:t>План подготовки</s:t>
  </s:si>
  <s:si>
    <s:t>1.1.10</s:t>
  </s:si>
  <s:si>
    <s:t>2.1</s:t>
  </s:si>
  <s:si>
    <s:t>2.2</s:t>
  </s:si>
  <s:si>
    <s:t>Вх. №</s:t>
  </s:si>
  <s:si>
    <s:t>Дата</s:t>
  </s:si>
  <s:si>
    <s:t>От кого</s:t>
  </s:si>
  <s:si>
    <s:t>Исх. № отпр.</s:t>
  </s:si>
  <s:si>
    <s:t>Кратко</s:t>
  </s:si>
  <s:si>
    <s:t>Исх. №</s:t>
  </s:si>
  <s:si>
    <s:t>Дата ответа</s:t>
  </s:si>
  <s:si>
    <s:t>Договор СОИ</s:t>
  </s:si>
  <s:si>
    <s:t>123/45</s:t>
  </s:si>
  <s:si>
    <s:t>Передача сетей</s:t>
  </s:si>
  <s:si>
    <s:t>Контрагент</s:t>
  </s:si>
  <s:si>
    <s:t>Сумма</s:t>
  </s:si>
  <s:si>
    <s:t>Тип (приход/расход)</s:t>
  </s:si>
  <s:si>
    <s:t>Жильцы</s:t>
  </s:si>
  <s:si>
    <s:t>Приход</s:t>
  </s:si>
  <s:si>
    <s:t>Расход</s:t>
  </s:si>
  <s:si>
    <s:t>Жильцы (долг)</s:t>
  </s:si>
  <s:si>
    <s:t>Задолженность</s:t>
  </s:si>
  <s:si>
    <s:t>ЗАДАЧИ</s:t>
  </s:si>
  <s:si>
    <s:t>ПОДГОТОВКА К ЗИМЕ</s:t>
  </s:si>
  <s:si>
    <s:t>ПЕРЕПИСКА</s:t>
  </s:si>
  <s:si>
    <s:t>ФИНАНСЫ</s:t>
  </s:si>
  <s:si>
    <s:t>(текст)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</s:si>
</s:sst>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8">
    <s:numFmt numFmtId="164" formatCode="dd\.mm\.yyyy"/>
    <s:numFmt numFmtId="165" formatCode="[$-F400]h:mm"/>
    <s:numFmt numFmtId="166" formatCode="dd\.mm\.yyyy h:mm"/>
    <s:numFmt numFmtId="167" formatCode="[h]:mm"/>
    <s:numFmt numFmtId="168" formatCode="dd-mm"/>
    <s:numFmt numFmtId="169" formatCode="dd\.mm\.yy"/>
    <s:numFmt numFmtId="170" formatCode="dd\.mm"/>
    <s:numFmt numFmtId="171" formatCode="dd-mm-yyyy"/>
  </s:numFmts>
  <s:fonts count="4">
    <s:font>
      <s:name val="Arimo"/>
      <s:family val="2"/>
      <s:color theme="1"/>
      <s:sz val="10"/>
    </s:font>
    <s:font>
      <s:b val="1"/>
    </s:font>
    <s:font>
      <s:name val="quote-cjk-patch"/>
      <s:b val="1"/>
      <s:color rgb="FF0F1115"/>
      <s:sz val="11"/>
    </s:font>
    <s:font>
      <s:name val="Arimo"/>
      <s:b val="1"/>
      <s:color rgb="FF000000"/>
      <s:sz val="10"/>
    </s:font>
  </s:fonts>
  <s:fills count="4">
    <s:fill>
      <s:patternFill patternType="none"/>
    </s:fill>
    <s:fill>
      <s:patternFill patternType="gray125"/>
    </s:fill>
    <s:fill>
      <s:patternFill patternType="solid">
        <s:fgColor rgb="FFEBEEF2"/>
      </s:patternFill>
    </s:fill>
    <s:fill>
      <s:patternFill patternType="solid">
        <s:fgColor rgb="FFFFFFFF"/>
      </s:patternFill>
    </s:fill>
  </s:fills>
  <s:borders count="4">
    <s:border>
      <s:left/>
      <s:right/>
      <s:top/>
      <s:bottom/>
      <s:diagonal/>
    </s:border>
    <s:border>
      <s:right style="solid">
        <s:color rgb="FF000000"/>
      </s:right>
    </s:border>
    <s:border>
      <s:bottom style="solid">
        <s:color rgb="FF000000"/>
      </s:bottom>
    </s:border>
    <s:border>
      <s:top style="none">
        <s:color rgb="none"/>
      </s:top>
      <s:bottom style="solid">
        <s:color rgb="FF000000"/>
      </s:bottom>
    </s:border>
  </s:borders>
  <s:cellStyleXfs count="1">
    <s:xf numFmtId="0" fontId="0" fillId="0" borderId="0"/>
  </s:cellStyleXfs>
  <s:cellXfs count="32">
    <s:xf numFmtId="0" fontId="0" fillId="0" borderId="0" xfId="0"/>
    <s:xf numFmtId="164" applyNumberFormat="1"/>
    <s:xf numFmtId="165" applyNumberFormat="1"/>
    <s:xf numFmtId="166" applyNumberFormat="1"/>
    <s:xf applyAlignment="1">
      <s:alignment vertical="bottom" wrapText="0" vyd:clipText="1" mc:Ignorable="vyd"/>
    </s:xf>
    <s:xf numFmtId="164" applyNumberFormat="1" applyAlignment="1">
      <s:alignment horizontal="right" vertical="bottom" wrapText="0" vyd:clipText="1" mc:Ignorable="vyd"/>
    </s:xf>
    <s:xf applyAlignment="1">
      <s:alignment horizontal="right" vertical="bottom" wrapText="0" vyd:clipText="1" mc:Ignorable="vyd"/>
    </s:xf>
    <s:xf borderId="1" applyBorder="1" applyAlignment="1">
      <s:alignment vertical="bottom" wrapText="0" vyd:clipText="1" mc:Ignorable="vyd"/>
    </s:xf>
    <s:xf numFmtId="167" applyNumberFormat="1" applyAlignment="1">
      <s:alignment vertical="bottom" wrapText="0" vyd:clipText="1" mc:Ignorable="vyd"/>
    </s:xf>
    <s:xf numFmtId="168" applyNumberFormat="1"/>
    <s:xf numFmtId="168" quotePrefix="1" applyNumberFormat="1"/>
    <s:xf quotePrefix="1"/>
    <s:xf fontId="1" borderId="2" applyFont="1" applyBorder="1"/>
    <s:xf borderId="2" applyBorder="1"/>
    <s:xf fillId="2" borderId="2" applyFill="1" applyBorder="1"/>
    <s:xf numFmtId="164" fontId="1" borderId="2" applyNumberFormat="1" applyFont="1" applyBorder="1"/>
    <s:xf numFmtId="164" fillId="2" borderId="2" applyNumberFormat="1" applyFill="1" applyBorder="1"/>
    <s:xf numFmtId="164" fillId="2" borderId="2" applyNumberFormat="1" applyFill="1" applyBorder="1"/>
    <s:xf borderId="3" applyBorder="1" applyAlignment="1">
      <s:alignment horizontal="left" mc:Ignorable="vyd"/>
    </s:xf>
    <s:xf numFmtId="164" borderId="2" applyNumberFormat="1" applyBorder="1"/>
    <s:xf numFmtId="169" borderId="2" applyNumberFormat="1" applyBorder="1"/>
    <s:xf numFmtId="170" borderId="2" applyNumberFormat="1" applyBorder="1"/>
    <s:xf numFmtId="169" borderId="2" quotePrefix="1" applyNumberFormat="1" applyBorder="1"/>
    <s:xf numFmtId="170" borderId="2" quotePrefix="1" applyNumberFormat="1" applyBorder="1"/>
    <s:xf numFmtId="168" borderId="2" applyNumberFormat="1" applyBorder="1"/>
    <s:xf numFmtId="171" borderId="2" applyNumberFormat="1" applyBorder="1"/>
    <s:xf numFmtId="0" applyNumberFormat="1"/>
    <s:xf numFmtId="2" applyNumberFormat="1"/>
    <s:xf numFmtId="1" applyNumberFormat="1"/>
    <s:xf numFmtId="10" applyNumberFormat="1"/>
    <s:xf fontId="2" fillId="3" applyFont="1" applyFill="1" applyAlignment="1">
      <s:alignment horizontal="left" wrapText="0" vyd:clipText="0" mc:Ignorable="vyd"/>
    </s:xf>
    <s:xf fontId="3" applyFont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13" Type="http://schemas.openxmlformats.org/officeDocument/2006/relationships/styles" Target="styles.xml"/><Relationship Target="theme/theme1.xml" Type="http://schemas.openxmlformats.org/officeDocument/2006/relationships/theme" Id="rId14"/><Relationship Target="sharedStrings.xml" Type="http://schemas.openxmlformats.org/officeDocument/2006/relationships/sharedStrings" Id="rId1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4.973" customWidth="1"/>
    <s:col min="2" max="2" width="2.023" customWidth="1"/>
    <s:col min="8" max="8" width="14.844" customWidth="1"/>
  </s:cols>
  <s:sheetData>
    <s:row r="1">
      <s:c r="A1" s="3">
        <s:v>46284.44375</s:v>
      </s:c>
      <s:c r="B1" s="0">
        <s:v>3</s:v>
      </s:c>
      <s:c r="C1" t="s">
        <s:v>2</s:v>
      </s:c>
      <s:c r="D1" s="0" t="s">
        <s:v>0</s:v>
      </s:c>
      <s:c r="E1" t="s">
        <s:v>4</s:v>
      </s:c>
      <s:c r="F1" t="s">
        <s:v>3</s:v>
      </s:c>
      <s:c r="G1" t="s">
        <s:v>5</s:v>
      </s:c>
      <s:c r="H1" s="3">
        <s:v>46284.4618055555</s:v>
      </s:c>
      <s:c r="I1" t="s">
        <s:v>63</s:v>
      </s:c>
    </s:row>
    <s:row r="2">
      <s:c r="A2" s="3">
        <s:v>46276.8451388888</s:v>
      </s:c>
      <s:c r="B2">
        <s:v>2</s:v>
      </s:c>
      <s:c r="C2" t="s">
        <s:v>6</s:v>
      </s:c>
      <s:c r="D2" t="s">
        <s:v>7</s:v>
      </s:c>
      <s:c r="E2" t="s">
        <s:v>9</s:v>
      </s:c>
      <s:c r="F2" t="s">
        <s:v>10</s:v>
      </s:c>
      <s:c r="G2" t="s">
        <s:v>11</s:v>
      </s:c>
      <s:c r="H2" s="3">
        <s:v>46276.8930555555</s:v>
      </s:c>
      <s:c r="I2" t="s">
        <s:v>62</s:v>
      </s:c>
    </s:row>
  </s:sheetData>
</s:worksheet>
</file>

<file path=xl/worksheets/sheet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5">
        <s:v>46266</s:v>
      </s:c>
      <s:c r="B1" s="6">
        <s:v>2000</s:v>
      </s:c>
      <s:c r="C1" s="7" t="s">
        <s:v>12</s:v>
      </s:c>
    </s:row>
    <s:row r="2">
      <s:c r="A2" s="5">
        <s:v>46266</s:v>
      </s:c>
      <s:c r="B2" s="6">
        <s:v>12500</s:v>
      </s:c>
      <s:c r="C2" s="7" t="s">
        <s:v>13</s:v>
      </s:c>
    </s:row>
    <s:row r="3">
      <s:c r="A3" s="5">
        <s:v>46265</s:v>
      </s:c>
      <s:c r="B3" s="6">
        <s:v>1850</s:v>
      </s:c>
      <s:c r="C3" s="7" t="s">
        <s:v>14</s:v>
      </s:c>
    </s:row>
    <s:row r="4">
      <s:c r="A4" s="5">
        <s:v>46263</s:v>
      </s:c>
      <s:c r="B4" s="6">
        <s:v>358</s:v>
      </s:c>
      <s:c r="C4" s="7" t="s">
        <s:v>15</s:v>
      </s:c>
    </s:row>
    <s:row r="5">
      <s:c r="A5" s="5">
        <s:v>46259</s:v>
      </s:c>
      <s:c r="B5" s="6">
        <s:v>482</s:v>
      </s:c>
      <s:c r="C5" s="4" t="s">
        <s:v>16</s:v>
      </s:c>
    </s:row>
    <s:row r="6">
      <s:c r="A6" s="5">
        <s:v>46248</s:v>
      </s:c>
      <s:c r="B6" s="6">
        <s:v>1271.05</s:v>
      </s:c>
      <s:c r="C6" s="7" t="s">
        <s:v>17</s:v>
      </s:c>
    </s:row>
    <s:row r="7">
      <s:c r="A7" s="5">
        <s:v>46248</s:v>
      </s:c>
      <s:c r="B7" s="6">
        <s:v>100</s:v>
      </s:c>
      <s:c r="C7" s="7" t="s">
        <s:v>18</s:v>
      </s:c>
    </s:row>
    <s:row r="8">
      <s:c r="A8" s="5">
        <s:v>46247</s:v>
      </s:c>
      <s:c r="B8" s="6">
        <s:v>6000</s:v>
      </s:c>
      <s:c r="C8" s="7" t="s">
        <s:v>19</s:v>
      </s:c>
    </s:row>
    <s:row r="9">
      <s:c r="A9" s="5">
        <s:v>46231</s:v>
      </s:c>
      <s:c r="B9" s="6">
        <s:v>709.97</s:v>
      </s:c>
      <s:c r="C9" s="7" t="s">
        <s:v>20</s:v>
      </s:c>
    </s:row>
    <s:row r="10">
      <s:c r="A10" s="5">
        <s:v>46231</s:v>
      </s:c>
      <s:c r="B10" s="6">
        <s:v>370</s:v>
      </s:c>
      <s:c r="C10" s="7" t="s">
        <s:v>21</s:v>
      </s:c>
    </s:row>
    <s:row r="11">
      <s:c r="A11" s="5">
        <s:v>46231</s:v>
      </s:c>
      <s:c r="B11" s="6">
        <s:v>610</s:v>
      </s:c>
      <s:c r="C11" s="4" t="s">
        <s:v>22</s:v>
      </s:c>
    </s:row>
    <s:row r="12">
      <s:c r="A12" s="5">
        <s:v>46230</s:v>
      </s:c>
      <s:c r="B12" s="6">
        <s:v>1152</s:v>
      </s:c>
      <s:c r="C12" s="4" t="s">
        <s:v>23</s:v>
      </s:c>
    </s:row>
    <s:row r="13">
      <s:c r="A13" s="5">
        <s:v>46217</s:v>
      </s:c>
      <s:c r="B13" s="6">
        <s:v>7000</s:v>
      </s:c>
      <s:c r="C13" s="4" t="s">
        <s:v>24</s:v>
      </s:c>
    </s:row>
    <s:row r="14">
      <s:c r="A14" s="5">
        <s:v>46217</s:v>
      </s:c>
      <s:c r="B14" s="6">
        <s:v>350</s:v>
      </s:c>
      <s:c r="C14" s="4" t="s">
        <s:v>25</s:v>
      </s:c>
    </s:row>
    <s:row r="15">
      <s:c r="A15" s="5">
        <s:v>46216</s:v>
      </s:c>
      <s:c r="B15" s="6">
        <s:v>1136.91</s:v>
      </s:c>
      <s:c r="C15" s="7" t="s">
        <s:v>26</s:v>
      </s:c>
    </s:row>
    <s:row r="16">
      <s:c r="A16" s="5">
        <s:v>46216</s:v>
      </s:c>
      <s:c r="B16" s="6">
        <s:v>1000</s:v>
      </s:c>
      <s:c r="C16" s="7" t="s">
        <s:v>27</s:v>
      </s:c>
    </s:row>
    <s:row r="17">
      <s:c r="A17" s="6" t="s">
        <s:v>28</s:v>
      </s:c>
      <s:c r="B17" s="6">
        <s:v>250</s:v>
      </s:c>
      <s:c r="C17" s="4" t="s">
        <s:v>29</s:v>
      </s:c>
    </s:row>
    <s:row r="18">
      <s:c r="A18" s="5">
        <s:v>46210</s:v>
      </s:c>
      <s:c r="B18" s="6">
        <s:v>178.9</s:v>
      </s:c>
      <s:c r="C18" s="4" t="s">
        <s:v>30</s:v>
      </s:c>
    </s:row>
    <s:row r="19">
      <s:c r="A19" s="5">
        <s:v>46210</s:v>
      </s:c>
      <s:c r="B19" s="6">
        <s:v>50</s:v>
      </s:c>
      <s:c r="C19" s="4" t="s">
        <s:v>31</s:v>
      </s:c>
    </s:row>
    <s:row r="20">
      <s:c r="A20" s="5">
        <s:v>46210</s:v>
      </s:c>
      <s:c r="B20" s="6">
        <s:v>910.74</s:v>
      </s:c>
      <s:c r="C20" s="7" t="s">
        <s:v>32</s:v>
      </s:c>
    </s:row>
    <s:row r="21">
      <s:c r="A21" s="5">
        <s:v>46209</s:v>
      </s:c>
      <s:c r="B21" s="6">
        <s:v>130</s:v>
      </s:c>
      <s:c r="C21" s="7" t="s">
        <s:v>33</s:v>
      </s:c>
    </s:row>
    <s:row r="22">
      <s:c r="A22" s="5">
        <s:v>46161</s:v>
      </s:c>
      <s:c r="B22" s="6">
        <s:v>437</s:v>
      </s:c>
      <s:c r="C22" s="4" t="s">
        <s:v>34</s:v>
      </s:c>
    </s:row>
    <s:row r="23">
      <s:c r="A23" s="5">
        <s:v>46157</s:v>
      </s:c>
      <s:c r="B23" s="6">
        <s:v>390</s:v>
      </s:c>
      <s:c r="C23" s="4" t="s">
        <s:v>34</s:v>
      </s:c>
    </s:row>
    <s:row r="24">
      <s:c r="A24" s="5">
        <s:v>46125</s:v>
      </s:c>
      <s:c r="B24" s="6">
        <s:v>386</s:v>
      </s:c>
      <s:c r="C24" s="4" t="s">
        <s:v>34</s:v>
      </s:c>
    </s:row>
    <s:row r="25">
      <s:c r="A25" s="5">
        <s:v>46125</s:v>
      </s:c>
      <s:c r="B25" s="6">
        <s:v>600</s:v>
      </s:c>
      <s:c r="C25" s="7" t="s">
        <s:v>21</s:v>
      </s:c>
    </s:row>
    <s:row r="26">
      <s:c r="A26" s="4">
        <s:v/>
      </s:c>
      <s:c r="B26" s="6">
        <s:v>40222.57</s:v>
      </s:c>
      <s:c r="C26" s="4">
        <s:v/>
      </s:c>
    </s:row>
    <s:row r="27">
      <s:c r="A27" s="4">
        <s:v/>
      </s:c>
      <s:c r="B27" s="4">
        <s:v/>
      </s:c>
      <s:c r="C27" s="4">
        <s:v/>
      </s:c>
    </s:row>
    <s:row r="28">
      <s:c r="A28" s="4">
        <s:v/>
      </s:c>
      <s:c r="B28" s="4">
        <s:v/>
      </s:c>
      <s:c r="C28" s="4">
        <s:v/>
      </s:c>
    </s:row>
  </s:sheetData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6">
        <s:v>2607131225</s:v>
      </s:c>
      <s:c r="B1" s="6">
        <s:v>158</s:v>
      </s:c>
      <s:c r="C1" s="4" t="s">
        <s:v>35</s:v>
      </s:c>
      <s:c r="D1" s="7" t="s">
        <s:v>36</s:v>
      </s:c>
      <s:c r="E1" s="4">
        <s:v/>
      </s:c>
      <s:c r="F1" s="6">
        <s:v>2607131408</s:v>
      </s:c>
      <s:c r="G1" s="6">
        <s:v>1.505555556</s:v>
      </s:c>
      <s:c r="H1" s="8">
        <s:v>1.50555555555555</s:v>
      </s:c>
      <s:c r="I1" s="8">
        <s:v>1494.71666666666</s:v>
      </s:c>
      <s:c r="J1" s="4">
        <s:v/>
      </s:c>
    </s:row>
    <s:row r="2">
      <s:c r="A2" s="6">
        <s:v>2607100852</s:v>
      </s:c>
      <s:c r="B2" s="6">
        <s:v>158</s:v>
      </s:c>
      <s:c r="C2" s="4" t="s">
        <s:v>35</s:v>
      </s:c>
      <s:c r="D2" s="7" t="s">
        <s:v>37</s:v>
      </s:c>
      <s:c r="E2" s="4">
        <s:v/>
      </s:c>
      <s:c r="F2" s="6">
        <s:v>2607112100</s:v>
      </s:c>
      <s:c r="G2" s="6">
        <s:v>1.505555556</s:v>
      </s:c>
      <s:c r="H2" s="8">
        <s:v>1.50555555555555</s:v>
      </s:c>
      <s:c r="I2" s="8">
        <s:v>9547.13333333333</s:v>
      </s:c>
      <s:c r="J2" s="4">
        <s:v/>
      </s:c>
    </s:row>
    <s:row r="3">
      <s:c r="A3" s="6">
        <s:v>2607090816</s:v>
      </s:c>
      <s:c r="B3" s="6">
        <s:v>44</s:v>
      </s:c>
      <s:c r="C3" s="4" t="s">
        <s:v>38</s:v>
      </s:c>
      <s:c r="D3" s="7" t="s">
        <s:v>39</s:v>
      </s:c>
      <s:c r="E3" s="4">
        <s:v/>
      </s:c>
      <s:c r="F3" s="6">
        <s:v>2607131840</s:v>
      </s:c>
      <s:c r="G3" s="4">
        <s:v/>
      </s:c>
      <s:c r="H3" s="4">
        <s:v/>
      </s:c>
      <s:c r="I3" s="4">
        <s:v/>
      </s:c>
      <s:c r="J3" s="4">
        <s:v/>
      </s:c>
    </s:row>
  </s:sheetData>
</s:worksheet>
</file>

<file path=xl/worksheets/sheet4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5">
        <s:v>46282</s:v>
      </s:c>
      <s:c r="B1" s="4" t="s">
        <s:v>47</s:v>
      </s:c>
      <s:c r="C1" s="10" t="s">
        <s:v>51</s:v>
      </s:c>
    </s:row>
    <s:row r="2">
      <s:c r="A2" s="5">
        <s:v>46272</s:v>
      </s:c>
      <s:c r="B2" s="4" t="s">
        <s:v>47</s:v>
      </s:c>
      <s:c r="C2" s="10" t="s">
        <s:v>52</s:v>
      </s:c>
    </s:row>
    <s:row r="3">
      <s:c r="A3" s="5">
        <s:v>46272</s:v>
      </s:c>
      <s:c r="B3" s="7" t="s">
        <s:v>49</s:v>
      </s:c>
      <s:c r="C3" s="11" t="s">
        <s:v>60</s:v>
      </s:c>
    </s:row>
    <s:row r="4">
      <s:c r="A4" s="6" t="s">
        <s:v>50</s:v>
      </s:c>
      <s:c r="B4" s="7" t="s">
        <s:v>49</s:v>
      </s:c>
      <s:c r="C4" s="11" t="s">
        <s:v>59</s:v>
      </s:c>
    </s:row>
    <s:row r="5">
      <s:c r="A5" s="5">
        <s:v>46268</s:v>
      </s:c>
      <s:c r="B5" s="7" t="s">
        <s:v>49</s:v>
      </s:c>
      <s:c r="C5" s="11" t="s">
        <s:v>58</s:v>
      </s:c>
    </s:row>
    <s:row r="6">
      <s:c r="A6" s="5">
        <s:v>46265</s:v>
      </s:c>
      <s:c r="B6" s="4" t="s">
        <s:v>48</s:v>
      </s:c>
      <s:c r="C6" s="11" t="s">
        <s:v>57</s:v>
      </s:c>
    </s:row>
    <s:row r="7">
      <s:c r="A7" s="5">
        <s:v>46265</s:v>
      </s:c>
      <s:c r="B7" s="4" t="s">
        <s:v>47</s:v>
      </s:c>
      <s:c r="C7" s="10" t="s">
        <s:v>53</s:v>
      </s:c>
    </s:row>
    <s:row r="8">
      <s:c r="A8" s="5">
        <s:v>46261</s:v>
      </s:c>
      <s:c r="B8" s="4" t="s">
        <s:v>46</s:v>
      </s:c>
      <s:c r="C8" s="10" t="s">
        <s:v>56</s:v>
      </s:c>
    </s:row>
    <s:row r="9">
      <s:c r="A9" s="5">
        <s:v>46227</s:v>
      </s:c>
      <s:c r="B9" s="4" t="s">
        <s:v>46</s:v>
      </s:c>
      <s:c r="C9" s="10" t="s">
        <s:v>55</s:v>
      </s:c>
    </s:row>
    <s:row r="10">
      <s:c r="A10" s="5">
        <s:v>46209</s:v>
      </s:c>
      <s:c r="B10" s="4" t="s">
        <s:v>45</s:v>
      </s:c>
      <s:c r="C10" s="11" t="s">
        <s:v>54</s:v>
      </s:c>
    </s:row>
  </s:sheetData>
</s:worksheet>
</file>

<file path=xl/worksheets/sheet5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2" max="2" width="57.047" customWidth="1"/>
  </s:cols>
  <s:sheetData>
    <s:row r="1">
      <s:c r="A1" s="5">
        <s:v>46217</s:v>
      </s:c>
      <s:c r="B1" s="7" t="s">
        <s:v>40</s:v>
      </s:c>
      <s:c r="C1" s="7">
        <s:v/>
      </s:c>
      <s:c r="D1" s="4">
        <s:v/>
      </s:c>
    </s:row>
    <s:row r="2">
      <s:c r="A2" s="5">
        <s:v>46216</s:v>
      </s:c>
      <s:c r="B2" s="7" t="s">
        <s:v>41</s:v>
      </s:c>
      <s:c r="C2" s="7">
        <s:v/>
      </s:c>
      <s:c r="D2" s="7">
        <s:v/>
      </s:c>
    </s:row>
    <s:row r="3">
      <s:c r="A3" s="5">
        <s:v>46216</s:v>
      </s:c>
      <s:c r="B3" s="7" t="s">
        <s:v>42</s:v>
      </s:c>
      <s:c r="C3" s="7">
        <s:v/>
      </s:c>
      <s:c r="D3" s="4">
        <s:v/>
      </s:c>
    </s:row>
    <s:row r="4">
      <s:c r="A4" s="5">
        <s:v>46214</s:v>
      </s:c>
      <s:c r="B4" s="7" t="s">
        <s:v>43</s:v>
      </s:c>
      <s:c r="C4" s="7">
        <s:v/>
      </s:c>
      <s:c r="D4" s="4">
        <s:v/>
      </s:c>
    </s:row>
    <s:row r="5">
      <s:c r="A5" s="5">
        <s:v>46214</s:v>
      </s:c>
      <s:c r="B5" s="7" t="s">
        <s:v>44</s:v>
      </s:c>
      <s:c r="C5" s="4">
        <s:v/>
      </s:c>
      <s:c r="D5" s="4">
        <s:v/>
      </s:c>
    </s:row>
  </s:sheetData>
</s:worksheet>
</file>

<file path=xl/worksheets/sheet6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64</s:v>
      </s:c>
    </s:row>
    <s:row r="2">
      <s:c r="A2" t="s">
        <s:v>65</s:v>
      </s:c>
      <s:c r="B2" t="s">
        <s:v>67</s:v>
      </s:c>
    </s:row>
    <s:row r="3">
      <s:c r="B3" t="s">
        <s:v>68</s:v>
      </s:c>
    </s:row>
    <s:row r="4">
      <s:c r="A4" t="s">
        <s:v>66</s:v>
      </s:c>
    </s:row>
  </s:sheetData>
</s:worksheet>
</file>

<file path=xl/worksheets/sheet7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12" t="s">
        <s:v>69</s:v>
      </s:c>
      <s:c r="B1" s="13" t="s">
        <s:v>70</s:v>
      </s:c>
    </s:row>
    <s:row r="2">
      <s:c r="A2" s="15">
        <s:f validation_="true">TODAY()</s:f>
        <s:v>46284</s:v>
      </s:c>
      <s:c r="B2" s="13" t="s">
        <s:v>72</s:v>
      </s:c>
      <s:c r="C2" s="14"/>
    </s:row>
    <s:row r="3">
      <s:c r="C3" s="13">
        <s:v/>
      </s:c>
    </s:row>
    <s:row r="4">
      <s:c r="A4" s="12" t="s">
        <s:v>74</s:v>
      </s:c>
    </s:row>
    <s:row r="5">
      <s:c r="A5" s="12">
        <s:f validation_="true">COUNTA(Задачи1!A:A)-1</s:f>
        <s:v>2</s:v>
      </s:c>
      <s:c r="B5" s="13" t="s">
        <s:v>76</s:v>
      </s:c>
      <s:c r="C5" s="14"/>
    </s:row>
    <s:row r="6">
      <s:c r="A6" s="12" t="s">
        <s:v>77</s:v>
      </s:c>
      <s:c r="B6" s="13" t="s">
        <s:v>78</s:v>
      </s:c>
      <s:c r="C6" s="16">
        <s:f validation_="true">COUNTIFS(Задачи1!E:E,"&lt;&gt;Готово",Задачи1!D:D,"&lt;"&amp;TODAY())</s:f>
        <s:v>0</s:v>
      </s:c>
    </s:row>
    <s:row r="7">
      <s:c r="A7" s="12" t="s">
        <s:v>79</s:v>
      </s:c>
      <s:c r="B7" s="13" t="s">
        <s:v>80</s:v>
      </s:c>
      <s:c r="C7" s="16">
        <s:f validation_="true">COUNTIF(Задачи1!D:D,TODAY())</s:f>
        <s:v>0</s:v>
      </s:c>
    </s:row>
    <s:row r="8">
      <s:c r="A8" s="12" t="s">
        <s:v>81</s:v>
      </s:c>
      <s:c r="B8" s="13" t="s">
        <s:v>82</s:v>
      </s:c>
      <s:c r="C8" s="14">
        <s:f validation_="true">COUNTIF(Задачи1!E:E,"В работе")</s:f>
        <s:v>0</s:v>
      </s:c>
    </s:row>
    <s:row r="9">
      <s:c r="A9" s="12" t="s">
        <s:v>83</s:v>
      </s:c>
      <s:c r="B9" s="13" t="s">
        <s:v>84</s:v>
      </s:c>
      <s:c r="C9" s="14">
        <s:f validation_="true">COUNTIF(Задачи1!E:E,"Готово")</s:f>
        <s:v>0</s:v>
      </s:c>
    </s:row>
    <s:row r="10">
      <s:c r="A10" s="12" t="s">
        <s:v>85</s:v>
      </s:c>
      <s:c r="B10" s="12" t="s">
        <s:v>86</s:v>
      </s:c>
      <s:c r="C10" s="13">
        <s:v/>
      </s:c>
    </s:row>
    <s:row r="11">
      <s:c r="A11" s="12" t="s">
        <s:v>87</s:v>
      </s:c>
      <s:c r="B11" s="13" t="s">
        <s:v>88</s:v>
      </s:c>
      <s:c r="C11" s="14" t="e">
        <s:f validation_="true">COUNTIF(Оценочный_лист!C:C,"Да")</s:f>
        <s:v>#REF!</s:v>
      </s:c>
    </s:row>
    <s:row r="12">
      <s:c r="A12" s="12" t="s">
        <s:v>89</s:v>
      </s:c>
      <s:c r="B12" s="13" t="s">
        <s:v>90</s:v>
      </s:c>
      <s:c r="C12" s="14" t="e">
        <s:f validation_="true">COUNTA(Оценочный_лист!A:A)-1</s:f>
        <s:v>#REF!</s:v>
      </s:c>
    </s:row>
    <s:row r="13">
      <s:c r="A13" s="12" t="s">
        <s:v>91</s:v>
      </s:c>
      <s:c r="B13" s="13" t="s">
        <s:v>92</s:v>
      </s:c>
      <s:c r="C13" s="14" t="e">
        <s:f validation_="false">A12/A13 (формат: процент)</s:f>
        <s:v>=A12/A13 (формат: процент)</s:v>
      </s:c>
    </s:row>
    <s:row r="14">
      <s:c r="A14" s="12" t="s">
        <s:v>93</s:v>
      </s:c>
      <s:c r="B14" s="12" t="s">
        <s:v>94</s:v>
      </s:c>
      <s:c r="C14" s="13">
        <s:v/>
      </s:c>
    </s:row>
    <s:row r="15">
      <s:c r="A15" s="12" t="s">
        <s:v>95</s:v>
      </s:c>
      <s:c r="B15" s="13" t="s">
        <s:v>96</s:v>
      </s:c>
      <s:c r="C15" s="14" t="e">
        <s:f validation_="true">COUNTA(Переписка!A:A)-1</s:f>
        <s:v>#REF!</s:v>
      </s:c>
    </s:row>
    <s:row r="16">
      <s:c r="A16" s="12" t="s">
        <s:v>97</s:v>
      </s:c>
      <s:c r="B16" s="13" t="s">
        <s:v>98</s:v>
      </s:c>
      <s:c r="C16" s="14" t="e">
        <s:f validation_="true">COUNTIF(Переписка!F:F,"")</s:f>
        <s:v>#REF!</s:v>
      </s:c>
    </s:row>
    <s:row r="17">
      <s:c r="A17" s="12" t="s">
        <s:v>99</s:v>
      </s:c>
      <s:c r="B17" s="12" t="s">
        <s:v>100</s:v>
      </s:c>
      <s:c r="C17" s="13">
        <s:v/>
      </s:c>
    </s:row>
    <s:row r="18">
      <s:c r="A18" s="12" t="s">
        <s:v>101</s:v>
      </s:c>
      <s:c r="B18" s="13" t="s">
        <s:v>102</s:v>
      </s:c>
      <s:c r="C18" s="13" t="s">
        <s:v>103</s:v>
      </s:c>
    </s:row>
    <s:row r="19">
      <s:c r="A19" s="12" t="s">
        <s:v>104</s:v>
      </s:c>
      <s:c r="B19" s="13" t="s">
        <s:v>105</s:v>
      </s:c>
      <s:c r="C19" s="14" t="e">
        <s:f validation_="true">SUM(Финансы!C:C)</s:f>
        <s:v>#REF!</s:v>
      </s:c>
    </s:row>
    <s:row r="20">
      <s:c r="A20" s="12" t="s">
        <s:v>106</s:v>
      </s:c>
      <s:c r="B20" s="13" t="s">
        <s:v>107</s:v>
      </s:c>
      <s:c r="C20" s="13" t="s">
        <s:v>103</s:v>
      </s:c>
    </s:row>
  </s:sheetData>
</s:worksheet>
</file>

<file path=xl/worksheets/sheet8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69</s:v>
      </s:c>
    </s:row>
    <s:row r="2">
      <s:c r="A2" s="1">
        <s:f validation_="true">TODAY()</s:f>
        <s:v>46284</s:v>
      </s:c>
    </s:row>
    <s:row r="4">
      <s:c r="A4" t="s">
        <s:v>185</s:v>
      </s:c>
    </s:row>
    <s:row r="5">
      <s:c r="A5" s="26">
        <s:f validation_="true">COUNTA(Задачи!A:A)-1</s:f>
        <s:v>3</s:v>
      </s:c>
    </s:row>
    <s:row r="6">
      <s:c r="A6" s="1">
        <s:f validation_="true">COUNTIFS(Задачи!E:E,"&lt;&gt;Готово",Задачи!D:D,"&lt;"&amp;TODAY())</s:f>
        <s:v>0</s:v>
      </s:c>
    </s:row>
    <s:row r="7">
      <s:c r="A7" s="28">
        <s:f validation_="true">COUNTIF(Задачи!D:D,TODAY())</s:f>
        <s:v>2</s:v>
      </s:c>
    </s:row>
    <s:row r="8">
      <s:c r="A8" s="26">
        <s:f validation_="true">COUNTIF(Задачи!E:E,"В работе")</s:f>
        <s:v>1</s:v>
      </s:c>
    </s:row>
    <s:row r="9">
      <s:c r="A9" s="26">
        <s:f validation_="true">COUNTIF(Задачи!E:E,"Готово")</s:f>
        <s:v>1</s:v>
      </s:c>
    </s:row>
    <s:row r="11">
      <s:c r="A11" t="s">
        <s:v>186</s:v>
      </s:c>
    </s:row>
    <s:row r="12">
      <s:c r="A12" s="26">
        <s:f validation_="true">COUNTIF('Оценочный лист'!C:C,"Да")</s:f>
        <s:v>17</s:v>
      </s:c>
    </s:row>
    <s:row r="13">
      <s:c r="A13" s="26">
        <s:f validation_="true">COUNTA('Оценочный лист'!A:A)-1</s:f>
        <s:v>21</s:v>
      </s:c>
    </s:row>
    <s:row r="14">
      <s:c r="A14" s="29">
        <s:f validation_="true">A12/A13</s:f>
        <s:v>0.809523809523809</s:v>
      </s:c>
    </s:row>
    <s:row r="16" ht="15">
      <s:c r="A16" s="30" t="s">
        <s:v>187</s:v>
      </s:c>
    </s:row>
    <s:row r="17">
      <s:c r="A17" s="26">
        <s:f validation_="true">COUNTA(Переписка!A:A)-1</s:f>
        <s:v>2</s:v>
      </s:c>
    </s:row>
    <s:row r="18">
      <s:c r="A18" s="26">
        <s:f validation_="true">COUNTIF(Переписка!F:F,"")</s:f>
        <s:v>998</s:v>
      </s:c>
    </s:row>
    <s:row r="20">
      <s:c r="A20" s="31" t="s">
        <s:v>188</s:v>
      </s:c>
    </s:row>
    <s:row r="22">
      <s:c r="A22" s="26">
        <s:f validation_="true">SUMIF(Финансы!D:D,"Задолженность",Финансы!C:C)</s:f>
        <s:v>-20000</s:v>
      </s:c>
    </s:row>
    <s:row r="27">
      <s:c r="A27" s="14"/>
    </s:row>
    <s:row r="28">
      <s:c r="A28" s="12" t="s">
        <s:v>97</s:v>
      </s:c>
      <s:c r="B28" s="13" t="s">
        <s:v>98</s:v>
      </s:c>
      <s:c r="C28" s="14"/>
    </s:row>
    <s:row r="29">
      <s:c r="A29" s="12" t="s">
        <s:v>99</s:v>
      </s:c>
      <s:c r="B29" s="12"/>
      <s:c r="C29" s="13" t="s">
        <s:v>189</s:v>
      </s:c>
    </s:row>
    <s:row r="30">
      <s:c r="A30" s="12" t="s">
        <s:v>101</s:v>
      </s:c>
      <s:c r="B30" s="13" t="s">
        <s:v>102</s:v>
      </s:c>
      <s:c r="C30" s="13" t="s">
        <s:v>103</s:v>
      </s:c>
    </s:row>
    <s:row r="31">
      <s:c r="A31" s="12" t="s">
        <s:v>104</s:v>
      </s:c>
      <s:c r="B31" s="13" t="s">
        <s:v>105</s:v>
      </s:c>
      <s:c r="C31" s="14"/>
    </s:row>
    <s:row r="32">
      <s:c r="A32" s="12" t="s">
        <s:v>106</s:v>
      </s:c>
      <s:c r="B32" s="13" t="s">
        <s:v>107</s:v>
      </s:c>
      <s:c r="C32" s="13" t="s">
        <s:v>103</s:v>
      </s:c>
    </s:row>
  </s:sheetData>
</s:worksheet>
</file>

<file path=xl/worksheets/sheet9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18" t="s">
        <s:v>108</s:v>
      </s:c>
      <s:c r="B1" s="18" t="s">
        <s:v>109</s:v>
      </s:c>
      <s:c r="C1" s="18" t="s">
        <s:v>110</s:v>
      </s:c>
      <s:c r="D1" s="18" t="s">
        <s:v>111</s:v>
      </s:c>
      <s:c r="E1" s="18" t="s">
        <s:v>112</s:v>
      </s:c>
      <s:c r="F1" s="18" t="s">
        <s:v>113</s:v>
      </s:c>
      <s:c r="G1" s="18" t="s">
        <s:v>114</s:v>
      </s:c>
    </s:row>
    <s:row r="2">
      <s:c r="A2" s="13">
        <s:v>1</s:v>
      </s:c>
      <s:c r="B2" s="13" t="s">
        <s:v>115</s:v>
      </s:c>
      <s:c r="C2" s="13" t="s">
        <s:v>116</s:v>
      </s:c>
      <s:c r="D2" s="19">
        <s:v>46284</s:v>
      </s:c>
      <s:c r="E2" s="13" t="s">
        <s:v>82</s:v>
      </s:c>
      <s:c r="F2" s="13" t="s">
        <s:v>117</s:v>
      </s:c>
      <s:c r="G2" s="13" t="s">
        <s:v>118</s:v>
      </s:c>
    </s:row>
    <s:row r="3">
      <s:c r="A3" s="13">
        <s:v>2</s:v>
      </s:c>
      <s:c r="B3" s="13" t="s">
        <s:v>119</s:v>
      </s:c>
      <s:c r="C3" s="13" t="s">
        <s:v>120</s:v>
      </s:c>
      <s:c r="D3" s="19">
        <s:v>46285</s:v>
      </s:c>
      <s:c r="E3" s="13" t="s">
        <s:v>121</s:v>
      </s:c>
      <s:c r="F3" s="13" t="s">
        <s:v>117</s:v>
      </s:c>
      <s:c r="G3" s="13">
        <s:v/>
      </s:c>
    </s:row>
    <s:row r="4">
      <s:c r="A4" s="13">
        <s:v>3</s:v>
      </s:c>
      <s:c r="B4" s="13" t="s">
        <s:v>122</s:v>
      </s:c>
      <s:c r="C4" s="13" t="s">
        <s:v>123</s:v>
      </s:c>
      <s:c r="D4" s="19">
        <s:v>46284</s:v>
      </s:c>
      <s:c r="E4" s="13" t="s">
        <s:v>84</s:v>
      </s:c>
      <s:c r="F4" s="13" t="s">
        <s:v>117</s:v>
      </s:c>
    </s:row>
  </s:sheetData>
</s:worksheet>
</file>

<file path=xl/worksheets/sheet10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18" t="s">
        <s:v>108</s:v>
      </s:c>
      <s:c r="B1" s="18" t="s">
        <s:v>124</s:v>
      </s:c>
      <s:c r="C1" s="18" t="s">
        <s:v>125</s:v>
      </s:c>
    </s:row>
    <s:row r="2">
      <s:c r="A2" s="13" t="s">
        <s:v>126</s:v>
      </s:c>
      <s:c r="B2" s="13" t="s">
        <s:v>127</s:v>
      </s:c>
      <s:c r="C2" s="13" t="s">
        <s:v>128</s:v>
      </s:c>
    </s:row>
    <s:row r="3">
      <s:c r="A3" s="13" t="s">
        <s:v>129</s:v>
      </s:c>
      <s:c r="B3" s="13" t="s">
        <s:v>130</s:v>
      </s:c>
      <s:c r="C3" s="13" t="s">
        <s:v>128</s:v>
      </s:c>
    </s:row>
    <s:row r="4">
      <s:c r="A4" s="13" t="s">
        <s:v>131</s:v>
      </s:c>
      <s:c r="B4" s="13" t="s">
        <s:v>132</s:v>
      </s:c>
      <s:c r="C4" s="13" t="s">
        <s:v>128</s:v>
      </s:c>
    </s:row>
    <s:row r="5">
      <s:c r="A5" s="13" t="s">
        <s:v>133</s:v>
      </s:c>
      <s:c r="B5" s="13" t="s">
        <s:v>134</s:v>
      </s:c>
      <s:c r="C5" s="13" t="s">
        <s:v>128</s:v>
      </s:c>
    </s:row>
    <s:row r="6">
      <s:c r="A6" s="13" t="s">
        <s:v>135</s:v>
      </s:c>
      <s:c r="B6" s="13" t="s">
        <s:v>136</s:v>
      </s:c>
      <s:c r="C6" s="13" t="s">
        <s:v>128</s:v>
      </s:c>
    </s:row>
    <s:row r="7">
      <s:c r="A7" s="13" t="s">
        <s:v>137</s:v>
      </s:c>
      <s:c r="B7" s="13" t="s">
        <s:v>138</s:v>
      </s:c>
      <s:c r="C7" s="13" t="s">
        <s:v>128</s:v>
      </s:c>
    </s:row>
    <s:row r="8">
      <s:c r="A8" s="13" t="s">
        <s:v>139</s:v>
      </s:c>
      <s:c r="B8" s="13" t="s">
        <s:v>140</s:v>
      </s:c>
      <s:c r="C8" s="13" t="s">
        <s:v>128</s:v>
      </s:c>
    </s:row>
    <s:row r="9">
      <s:c r="A9" s="13" t="s">
        <s:v>141</s:v>
      </s:c>
      <s:c r="B9" s="13" t="s">
        <s:v>142</s:v>
      </s:c>
      <s:c r="C9" s="13" t="s">
        <s:v>128</s:v>
      </s:c>
    </s:row>
    <s:row r="10">
      <s:c r="A10" s="13" t="s">
        <s:v>143</s:v>
      </s:c>
      <s:c r="B10" s="13" t="s">
        <s:v>144</s:v>
      </s:c>
      <s:c r="C10" s="13" t="s">
        <s:v>128</s:v>
      </s:c>
    </s:row>
    <s:row r="11">
      <s:c r="A11" s="22" t="s">
        <s:v>164</s:v>
      </s:c>
      <s:c r="B11" s="13" t="s">
        <s:v>145</s:v>
      </s:c>
      <s:c r="C11" s="13" t="s">
        <s:v>128</s:v>
      </s:c>
    </s:row>
    <s:row r="12">
      <s:c r="A12" s="13" t="s">
        <s:v>146</s:v>
      </s:c>
      <s:c r="B12" s="13" t="s">
        <s:v>147</s:v>
      </s:c>
      <s:c r="C12" s="13" t="s">
        <s:v>128</s:v>
      </s:c>
    </s:row>
    <s:row r="13">
      <s:c r="A13" s="13" t="s">
        <s:v>148</s:v>
      </s:c>
      <s:c r="B13" s="13" t="s">
        <s:v>149</s:v>
      </s:c>
      <s:c r="C13" s="13" t="s">
        <s:v>150</s:v>
      </s:c>
    </s:row>
    <s:row r="14">
      <s:c r="A14" s="13" t="s">
        <s:v>151</s:v>
      </s:c>
      <s:c r="B14" s="13" t="s">
        <s:v>152</s:v>
      </s:c>
      <s:c r="C14" s="13" t="s">
        <s:v>150</s:v>
      </s:c>
    </s:row>
    <s:row r="15">
      <s:c r="A15" s="13" t="s">
        <s:v>153</s:v>
      </s:c>
      <s:c r="B15" s="13" t="s">
        <s:v>154</s:v>
      </s:c>
      <s:c r="C15" s="13" t="s">
        <s:v>150</s:v>
      </s:c>
    </s:row>
    <s:row r="16">
      <s:c r="A16" s="13" t="s">
        <s:v>155</s:v>
      </s:c>
      <s:c r="B16" s="13" t="s">
        <s:v>156</s:v>
      </s:c>
      <s:c r="C16" s="13" t="s">
        <s:v>128</s:v>
      </s:c>
    </s:row>
    <s:row r="17">
      <s:c r="A17" s="13" t="s">
        <s:v>157</s:v>
      </s:c>
      <s:c r="B17" s="13" t="s">
        <s:v>158</s:v>
      </s:c>
      <s:c r="C17" s="13" t="s">
        <s:v>128</s:v>
      </s:c>
    </s:row>
    <s:row r="18">
      <s:c r="A18" s="23" t="s">
        <s:v>165</s:v>
      </s:c>
      <s:c r="B18" s="13" t="s">
        <s:v>159</s:v>
      </s:c>
      <s:c r="C18" s="13" t="s">
        <s:v>128</s:v>
      </s:c>
    </s:row>
    <s:row r="19">
      <s:c r="A19" s="23" t="s">
        <s:v>166</s:v>
      </s:c>
      <s:c r="B19" s="13" t="s">
        <s:v>160</s:v>
      </s:c>
      <s:c r="C19" s="13" t="s">
        <s:v>150</s:v>
      </s:c>
    </s:row>
    <s:row r="20">
      <s:c r="A20" s="13">
        <s:v>3</s:v>
      </s:c>
      <s:c r="B20" s="13" t="s">
        <s:v>161</s:v>
      </s:c>
      <s:c r="C20" s="13" t="s">
        <s:v>128</s:v>
      </s:c>
    </s:row>
    <s:row r="21">
      <s:c r="A21" s="13">
        <s:v>4</s:v>
      </s:c>
      <s:c r="B21" s="13" t="s">
        <s:v>162</s:v>
      </s:c>
      <s:c r="C21" s="13" t="s">
        <s:v>128</s:v>
      </s:c>
    </s:row>
    <s:row r="22">
      <s:c r="A22" s="13">
        <s:v>5</s:v>
      </s:c>
      <s:c r="B22" s="13" t="s">
        <s:v>163</s:v>
      </s:c>
      <s:c r="C22" s="13" t="s">
        <s:v>128</s:v>
      </s:c>
    </s:row>
  </s:sheetData>
</s:worksheet>
</file>

<file path=xl/worksheets/sheet1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18" t="s">
        <s:v>167</s:v>
      </s:c>
      <s:c r="B1" s="18" t="s">
        <s:v>168</s:v>
      </s:c>
      <s:c r="C1" s="18" t="s">
        <s:v>169</s:v>
      </s:c>
      <s:c r="D1" s="18" t="s">
        <s:v>170</s:v>
      </s:c>
      <s:c r="E1" s="18" t="s">
        <s:v>171</s:v>
      </s:c>
      <s:c r="F1" s="18" t="s">
        <s:v>172</s:v>
      </s:c>
      <s:c r="G1" s="18" t="s">
        <s:v>173</s:v>
      </s:c>
    </s:row>
    <s:row r="2">
      <s:c r="A2" s="24">
        <s:v>46086</s:v>
      </s:c>
      <s:c r="B2" s="19">
        <s:v>46282</s:v>
      </s:c>
      <s:c r="C2" s="13" t="s">
        <s:v>47</s:v>
      </s:c>
      <s:c r="D2" s="25">
        <s:v>1088516</s:v>
      </s:c>
      <s:c r="E2" s="13" t="s">
        <s:v>174</s:v>
      </s:c>
      <s:c r="F2" s="24">
        <s:v>46117</s:v>
      </s:c>
      <s:c r="G2" s="19">
        <s:v>46283</s:v>
      </s:c>
    </s:row>
    <s:row r="3">
      <s:c r="A3" s="24">
        <s:v>46025</s:v>
      </s:c>
      <s:c r="B3" s="19">
        <s:v>46280</s:v>
      </s:c>
      <s:c r="C3" s="13" t="s">
        <s:v>48</s:v>
      </s:c>
      <s:c r="D3" s="13" t="s">
        <s:v>175</s:v>
      </s:c>
      <s:c r="E3" s="13" t="s">
        <s:v>176</s:v>
      </s:c>
      <s:c r="F3" s="13">
        <s:v/>
      </s:c>
    </s:row>
  </s:sheetData>
</s:worksheet>
</file>

<file path=xl/worksheets/sheet12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sheetData>
    <s:row r="1">
      <s:c r="A1" s="18" t="s">
        <s:v>168</s:v>
      </s:c>
      <s:c r="B1" s="18" t="s">
        <s:v>177</s:v>
      </s:c>
      <s:c r="C1" s="18" t="s">
        <s:v>178</s:v>
      </s:c>
      <s:c r="D1" s="18" t="s">
        <s:v>179</s:v>
      </s:c>
    </s:row>
    <s:row r="2">
      <s:c r="A2" s="19">
        <s:v>46266</s:v>
      </s:c>
      <s:c r="B2" s="13" t="s">
        <s:v>180</s:v>
      </s:c>
      <s:c r="C2" s="13">
        <s:v>150000</s:v>
      </s:c>
      <s:c r="D2" s="13" t="s">
        <s:v>181</s:v>
      </s:c>
    </s:row>
    <s:row r="3">
      <s:c r="A3" s="19">
        <s:v>46270</s:v>
      </s:c>
      <s:c r="B3" s="13" t="s">
        <s:v>47</s:v>
      </s:c>
      <s:c r="C3" s="13">
        <s:v>45000</s:v>
      </s:c>
      <s:c r="D3" s="13" t="s">
        <s:v>182</s:v>
      </s:c>
    </s:row>
    <s:row r="4">
      <s:c r="A4" s="19">
        <s:v>46275</s:v>
      </s:c>
      <s:c r="B4" s="13" t="s">
        <s:v>183</s:v>
      </s:c>
      <s:c r="C4" s="13">
        <s:v>-20000</s:v>
      </s:c>
      <s:c r="D4" s="13" t="s">
        <s:v>184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