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fileVersion appName="xl" lastEdited="5" lowestEdited="5" rupBuild="9302"/>
  <s:workbookPr codeName="ЭтаКнига"/>
  <s:bookViews>
    <s:workbookView xWindow="3165" yWindow="2265" windowWidth="28245" windowHeight="16440" activeTab="4"/>
  </s:bookViews>
  <s:sheets>
    <s:sheet name="Финансы" sheetId="37" state="visible" r:id="rId1"/>
    <s:sheet name="Переписка" sheetId="36" state="visible" r:id="rId2"/>
    <s:sheet name="Оценочный_лист" sheetId="35" state="visible" r:id="rId3"/>
    <s:sheet name="Задачи" sheetId="34" state="visible" r:id="rId4"/>
    <s:sheet name="Дашборд" sheetId="33" state="visible" r:id="rId5"/>
    <s:sheet name="Лифты" sheetId="1" state="visible" r:id="rId6"/>
    <s:sheet name="Расходы" sheetId="2" state="visible" r:id="rId7"/>
    <s:sheet name="Заявки" sheetId="3" state="visible" r:id="rId8"/>
    <s:sheet name="Письма" sheetId="4" state="visible" r:id="rId9"/>
    <s:sheet name="Выполненые работы" sheetId="5" state="visible" r:id="rId10"/>
    <s:sheet name="Задачи1" sheetId="6" state="visible" r:id="rId11"/>
    <s:sheet name="Лист1" sheetId="7" state="visible" r:id="rId12"/>
    <s:sheet name="Оценочный лист" sheetId="10" state="visible" r:id="rId13"/>
  </s:sheets>
  <s:externalReferences>
    <s:externalReference r:id="rId14"/>
  </s:externalReferences>
  <s:calcPr calcId="144525"/>
  <s:fileRecoveryPr repairLoad="1"/>
</s:workbook>
</file>

<file path=xl/sharedStrings.xml><?xml version="1.0" encoding="utf-8"?>
<s:sst xmlns:s="http://schemas.openxmlformats.org/spreadsheetml/2006/main" count="301" uniqueCount="184">
  <s:si>
    <s:t>Застряли в лифте</s:t>
  </s:si>
  <s:si>
    <s:t xml:space="preserve">Екатерина 130 кв. </s:t>
  </s:si>
  <s:si>
    <s:t>Сработал автомат в ВРУ во 2 подъезде на 1 этаже</s:t>
  </s:si>
  <s:si>
    <s:t>Нет электричества в машинном отделении</s:t>
  </s:si>
  <s:si>
    <s:t>Включили автомат обратно</s:t>
  </s:si>
  <s:si>
    <s:t>Елнара 71</s:t>
  </s:si>
  <s:si>
    <s:t>Девочки застряли в лифте</s:t>
  </s:si>
  <s:si>
    <s:t>Ошибка F44</s:t>
  </s:si>
  <s:si>
    <s:t xml:space="preserve">Сработала защита. </s:t>
  </s:si>
  <s:si>
    <s:t>Вытащили девченок дочери Аракси и Эльнары. Переключили флажок тормоза на первом этаже</s:t>
  </s:si>
  <s:si>
    <s:t>Лехе за замену ремня 1 подъезде</s:t>
  </s:si>
  <s:si>
    <s:t>Услуги дворника</s:t>
  </s:si>
  <s:si>
    <s:t xml:space="preserve">Комиссия Т-инвестиции </s:t>
  </s:si>
  <s:si>
    <s:t>2 лампы и изолента</s:t>
  </s:si>
  <s:si>
    <s:t>2 светильника</s:t>
  </s:si>
  <s:si>
    <s:t>ЕМС в Госжилинспекцию</s:t>
  </s:si>
  <s:si>
    <s:t>Конверт на почте</s:t>
  </s:si>
  <s:si>
    <s:t>Лехе и егг лругу за лифт в 3 подъезде</s:t>
  </s:si>
  <s:si>
    <s:t>Кофе, Кружка, вафли</s:t>
  </s:si>
  <s:si>
    <s:t>Картридж NS-CF283A</s:t>
  </s:si>
  <s:si>
    <s:t>Бумага и папка</s:t>
  </s:si>
  <s:si>
    <s:t>Лехе на пиво</s:t>
  </s:si>
  <s:si>
    <s:t>Лехе за работу</s:t>
  </s:si>
  <s:si>
    <s:t>Лехе за клей</s:t>
  </s:si>
  <s:si>
    <s:t>Тарасу за лифт в 1 п</s:t>
  </s:si>
  <s:si>
    <s:t>Володе сантехнику зс устранение засора</s:t>
  </s:si>
  <s:si>
    <s:t>13.07.0206</s:t>
  </s:si>
  <s:si>
    <s:t>Ключ в подвал</s:t>
  </s:si>
  <s:si>
    <s:t>Письмо в УК</s:t>
  </s:si>
  <s:si>
    <s:t>Конверт для УК</s:t>
  </s:si>
  <s:si>
    <s:t>Бандероль в ГЖИ</s:t>
  </s:si>
  <s:si>
    <s:t>Пакет для бандероли в ГЖИ</s:t>
  </s:si>
  <s:si>
    <s:t>Бумага</s:t>
  </s:si>
  <s:si>
    <s:t>Анна</s:t>
  </s:si>
  <s:si>
    <s:t>Запах канализации в подъезде</s:t>
  </s:si>
  <s:si>
    <s:t>Не работает лифт 3 подъезд в 8:52</s:t>
  </s:si>
  <s:si>
    <s:t>Гульнур</s:t>
  </s:si>
  <s:si>
    <s:t>Не работает лифт 1 подъезд в 6:40</s:t>
  </s:si>
  <s:si>
    <s:t>Замена тормозных колодок лифта 1 подъезда</s:t>
  </s:si>
  <s:si>
    <s:t>Регулировка тормозных колодок лифта 1 подъезда</s:t>
  </s:si>
  <s:si>
    <s:t>Прочистка северного стояка 3 подъезда</s:t>
  </s:si>
  <s:si>
    <s:t>Перезапуск лифта 1 подъезда. Выявлен дефект</s:t>
  </s:si>
  <s:si>
    <s:t>Перезапуск лифта 3 подъезда</s:t>
  </s:si>
  <s:si>
    <s:t>Налоговая</s:t>
  </s:si>
  <s:si>
    <s:t>ГЖИ</s:t>
  </s:si>
  <s:si>
    <s:t>УТВиВ</s:t>
  </s:si>
  <s:si>
    <s:t>Администрация</s:t>
  </s:si>
  <s:si>
    <s:t xml:space="preserve">Администрация </s:t>
  </s:si>
  <s:si>
    <s:t>04.09.0226</s:t>
  </s:si>
  <s:si>
    <s:t>5-3</s:t>
  </s:si>
  <s:si>
    <s:t>5-2</s:t>
  </s:si>
  <s:si>
    <s:t>5-1</s:t>
  </s:si>
  <s:si>
    <s:t>1-1</s:t>
  </s:si>
  <s:si>
    <s:t>2-1</s:t>
  </s:si>
  <s:si>
    <s:t>2-2</s:t>
  </s:si>
  <s:si>
    <s:t>3-1</s:t>
  </s:si>
  <s:si>
    <s:t>3-2</s:t>
  </s:si>
  <s:si>
    <s:t>3-3</s:t>
  </s:si>
  <s:si>
    <s:t>3-4</s:t>
  </s:si>
  <s:si>
    <s:t>Леха</s:t>
  </s:si>
  <s:si>
    <s:t>Андрей электрик</s:t>
  </s:si>
  <s:si>
    <s:t>Договор с РКЦ</s:t>
  </s:si>
  <s:si>
    <s:t>Договор с УТВиВ</s:t>
  </s:si>
  <s:si>
    <s:t>Договор с ГЭТ</s:t>
  </s:si>
  <s:si>
    <s:t>Письмо в администрацию по актам</s:t>
  </s:si>
  <s:si>
    <s:t>Протокол разногласий</s:t>
  </s:si>
  <s:si>
    <s:t>ДАШБОРД ТСН «СОЛНЕЧНЫЙ»</s:t>
  </s:si>
  <s:si>
    <s:t>(заголовок)</s:t>
  </s:si>
  <s:si>
    <s:t>Дата обновления</s:t>
  </s:si>
  <s:si>
    <s:t>БЛОК 1. ЗАДАЧИ</s:t>
  </s:si>
  <s:si>
    <s:t>Всего задач</s:t>
  </s:si>
  <s:si>
    <s:t>A6</s:t>
  </s:si>
  <s:si>
    <s:t>Просрочено</s:t>
  </s:si>
  <s:si>
    <s:t>A7</s:t>
  </s:si>
  <s:si>
    <s:t>На сегодня</s:t>
  </s:si>
  <s:si>
    <s:t>A8</s:t>
  </s:si>
  <s:si>
    <s:t>В работе</s:t>
  </s:si>
  <s:si>
    <s:t>A9</s:t>
  </s:si>
  <s:si>
    <s:t>Готово</s:t>
  </s:si>
  <s:si>
    <s:t>A11</s:t>
  </s:si>
  <s:si>
    <s:t>БЛОК 2. ПОДГОТОВКА К ЗИМЕ</s:t>
  </s:si>
  <s:si>
    <s:t>A12</s:t>
  </s:si>
  <s:si>
    <s:t>Собрано документов</s:t>
  </s:si>
  <s:si>
    <s:t>A13</s:t>
  </s:si>
  <s:si>
    <s:t>Всего документов</s:t>
  </s:si>
  <s:si>
    <s:t>A14</s:t>
  </s:si>
  <s:si>
    <s:t>Процент готовности</s:t>
  </s:si>
  <s:si>
    <s:t>A16</s:t>
  </s:si>
  <s:si>
    <s:t>БЛОК 3. ПЕРЕПИСКА</s:t>
  </s:si>
  <s:si>
    <s:t>A17</s:t>
  </s:si>
  <s:si>
    <s:t>Входящих всего</s:t>
  </s:si>
  <s:si>
    <s:t>A18</s:t>
  </s:si>
  <s:si>
    <s:t>Ожидают ответа</s:t>
  </s:si>
  <s:si>
    <s:t>A20</s:t>
  </s:si>
  <s:si>
    <s:t>БЛОК 4. ФИНАНСЫ</s:t>
  </s:si>
  <s:si>
    <s:t>A21</s:t>
  </s:si>
  <s:si>
    <s:t>Остаток на счёте</s:t>
  </s:si>
  <s:si>
    <s:t>(вводите вручную)</s:t>
  </s:si>
  <s:si>
    <s:t>A22</s:t>
  </s:si>
  <s:si>
    <s:t>Задолженность жильцов</s:t>
  </s:si>
  <s:si>
    <s:t>A23</s:t>
  </s:si>
  <s:si>
    <s:t>К оплате подрядчикам</s:t>
  </s:si>
  <s:si>
    <s:t>№</s:t>
  </s:si>
  <s:si>
    <s:t>Задача</s:t>
  </s:si>
  <s:si>
    <s:t>Тип</s:t>
  </s:si>
  <s:si>
    <s:t>Срок</s:t>
  </s:si>
  <s:si>
    <s:t>Статус</s:t>
  </s:si>
  <s:si>
    <s:t>Ответственный</s:t>
  </s:si>
  <s:si>
    <s:t>Комментарий</s:t>
  </s:si>
  <s:si>
    <s:t>Подписать акт с УТВиВ</s:t>
  </s:si>
  <s:si>
    <s:t>С</s:t>
  </s:si>
  <s:si>
    <s:t>Я</s:t>
  </s:si>
  <s:si>
    <s:t>Ждём подпись</s:t>
  </s:si>
  <s:si>
    <s:t>Заполнить оценочный лист</s:t>
  </s:si>
  <s:si>
    <s:t>В</s:t>
  </s:si>
  <s:si>
    <s:t>Не начато</s:t>
  </s:si>
  <s:si>
    <s:t>Ответить жильцу по мусору</s:t>
  </s:si>
  <s:si>
    <s:t>Р</s:t>
  </s:si>
  <s:si>
    <s:t>Наименование документа</s:t>
  </s:si>
  <s:si>
    <s:t>Наличие (Да/Нет)</s:t>
  </s:si>
  <s:si>
    <s:t>1.1.1</s:t>
  </s:si>
  <s:si>
    <s:t>Акт промывки</s:t>
  </s:si>
  <s:si>
    <s:t>Да</s:t>
  </s:si>
  <s:si>
    <s:t>1.1.2</s:t>
  </s:si>
  <s:si>
    <s:t>Акт наладки режимов</s:t>
  </s:si>
  <s:si>
    <s:t>1.1.3</s:t>
  </s:si>
  <s:si>
    <s:t>Акт осмотра арматуры</s:t>
  </s:si>
  <s:si>
    <s:t>1.1.4</s:t>
  </s:si>
  <s:si>
    <s:t>Приказ о назначении ответственного</s:t>
  </s:si>
  <s:si>
    <s:t>1.1.5</s:t>
  </s:si>
  <s:si>
    <s:t>Акт гидравлических испытаний</s:t>
  </s:si>
  <s:si>
    <s:t>1.1.6</s:t>
  </s:si>
  <s:si>
    <s:t>Перечень инструкций для ОПО</s:t>
  </s:si>
  <s:si>
    <s:t>1.1.7</s:t>
  </s:si>
  <s:si>
    <s:t>Эксплуатационные инструкции</s:t>
  </s:si>
  <s:si>
    <s:t>1.1.8</s:t>
  </s:si>
  <s:si>
    <s:t>Паспорт теплового пункта</s:t>
  </s:si>
  <s:si>
    <s:t>1.1.9</s:t>
  </s:si>
  <s:si>
    <s:t>Штатное расписание / договоры</s:t>
  </s:si>
  <s:si>
    <s:t>Проверка регуляторов</s:t>
  </s:si>
  <s:si>
    <s:t>1.2.1</s:t>
  </s:si>
  <s:si>
    <s:t>Акт осмотра на врезки</s:t>
  </s:si>
  <s:si>
    <s:t>1.2.2</s:t>
  </s:si>
  <s:si>
    <s:t>Акт проверки готовности (с РСО)</s:t>
  </s:si>
  <s:si>
    <s:t>Нет</s:t>
  </s:si>
  <s:si>
    <s:t>1.3.1</s:t>
  </s:si>
  <s:si>
    <s:t>Договор теплоснабжения</s:t>
  </s:si>
  <s:si>
    <s:t>1.3.2</s:t>
  </s:si>
  <s:si>
    <s:t>Акт сверки расчётов</s:t>
  </s:si>
  <s:si>
    <s:t>1.4.1</s:t>
  </s:si>
  <s:si>
    <s:t>Акт проверки узла учёта</s:t>
  </s:si>
  <s:si>
    <s:t>1.4.2</s:t>
  </s:si>
  <s:si>
    <s:t>Акт проверки КИП</s:t>
  </s:si>
  <s:si>
    <s:t>Акт по тепловому контуру</s:t>
  </s:si>
  <s:si>
    <s:t>Акт дезинфекции</s:t>
  </s:si>
  <s:si>
    <s:t>Газовое оборудование</s:t>
  </s:si>
  <s:si>
    <s:t>Предписания</s:t>
  </s:si>
  <s:si>
    <s:t>План подготовки</s:t>
  </s:si>
  <s:si>
    <s:t>1.1.10</s:t>
  </s:si>
  <s:si>
    <s:t>2.1</s:t>
  </s:si>
  <s:si>
    <s:t>2.2</s:t>
  </s:si>
  <s:si>
    <s:t>Вх. №</s:t>
  </s:si>
  <s:si>
    <s:t>Дата</s:t>
  </s:si>
  <s:si>
    <s:t>От кого</s:t>
  </s:si>
  <s:si>
    <s:t>Исх. № отпр.</s:t>
  </s:si>
  <s:si>
    <s:t>Кратко</s:t>
  </s:si>
  <s:si>
    <s:t>Исх. №</s:t>
  </s:si>
  <s:si>
    <s:t>Дата ответа</s:t>
  </s:si>
  <s:si>
    <s:t>Договор СОИ</s:t>
  </s:si>
  <s:si>
    <s:t>123/45</s:t>
  </s:si>
  <s:si>
    <s:t>Передача сетей</s:t>
  </s:si>
  <s:si>
    <s:t>Контрагент</s:t>
  </s:si>
  <s:si>
    <s:t>Сумма</s:t>
  </s:si>
  <s:si>
    <s:t>Тип (приход/расход)</s:t>
  </s:si>
  <s:si>
    <s:t>Жильцы</s:t>
  </s:si>
  <s:si>
    <s:t>Приход</s:t>
  </s:si>
  <s:si>
    <s:t>Расход</s:t>
  </s:si>
  <s:si>
    <s:t>Жильцы (долг)</s:t>
  </s:si>
  <s:si>
    <s:t>Задолженность</s:t>
  </s:si>
  <s:si>
    <s:t>ЗАДАЧИ</s:t>
  </s:si>
  <s:si>
    <s:t>ПОДГОТОВКА К ЗИМЕ</s:t>
  </s:si>
  <s:si>
    <s:t>ПЕРЕПИСКА</s:t>
  </s:si>
  <s:si>
    <s:t>ФИНАНСЫ</s:t>
  </s:si>
  <s:si>
    <s:t>Количество</s:t>
  </s:si>
</s:sst>
</file>

<file path=xl/styles.xml><?xml version="1.0" encoding="utf-8"?>
<s:styleSheet xmlns:x14="http://schemas.microsoft.com/office/spreadsheetml/2009/9/main" xmlns:s="http://schemas.openxmlformats.org/spreadsheetml/2006/main" xmlns:x14ac="http://schemas.microsoft.com/office/spreadsheetml/2009/9/ac" xmlns:mc="http://schemas.openxmlformats.org/markup-compatibility/2006" xmlns:vyd="http://volga.yandex.com/schemas/document/model" mc:Ignorable="x14ac">
  <s:numFmts count="7">
    <s:numFmt numFmtId="164" formatCode="dd\.mm\.yyyy"/>
    <s:numFmt numFmtId="166" formatCode="dd\.mm\.yyyy\ h:mm"/>
    <s:numFmt numFmtId="167" formatCode="[h]:mm"/>
    <s:numFmt numFmtId="168" formatCode="dd\-mm"/>
    <s:numFmt numFmtId="169" formatCode="dd\.mm\.yy"/>
    <s:numFmt numFmtId="170" formatCode="dd\.mm"/>
    <s:numFmt numFmtId="172" formatCode="#\ ##0\ ?"/>
  </s:numFmts>
  <s:fonts count="5">
    <s:font>
      <s:name val="Arimo"/>
      <s:family val="2"/>
      <s:color theme="1"/>
      <s:sz val="10"/>
    </s:font>
    <s:font>
      <s:name val="Arimo"/>
      <s:b val="1"/>
      <s:sz val="10"/>
    </s:font>
    <s:font>
      <s:name val="Arimo"/>
      <s:charset val="204"/>
      <s:b val="1"/>
      <s:color rgb="FFFFFFFF"/>
      <s:sz val="10"/>
    </s:font>
    <s:font>
      <s:name val="Arimo"/>
      <s:charset val="204"/>
      <s:b val="1"/>
      <s:color rgb="FFFFFFFF"/>
      <s:sz val="18"/>
    </s:font>
    <s:font>
      <s:name val="Arimo"/>
      <s:charset val="204"/>
      <s:i val="1"/>
      <s:color rgb="FF595959"/>
      <s:sz val="10"/>
    </s:font>
  </s:fonts>
  <s:fills count="13">
    <s:fill>
      <s:patternFill patternType="none"/>
    </s:fill>
    <s:fill>
      <s:patternFill patternType="gray125"/>
    </s:fill>
    <s:fill>
      <s:patternFill patternType="solid">
        <s:fgColor rgb="FFEBEEF2"/>
      </s:patternFill>
    </s:fill>
    <s:fill>
      <s:patternFill patternType="solid">
        <s:fgColor rgb="FF1F4E79"/>
        <s:bgColor indexed="64"/>
      </s:patternFill>
    </s:fill>
    <s:fill>
      <s:patternFill patternType="solid">
        <s:fgColor rgb="FFF2F2F2"/>
        <s:bgColor indexed="64"/>
      </s:patternFill>
    </s:fill>
    <s:fill>
      <s:patternFill patternType="solid">
        <s:fgColor rgb="FF2E75B6"/>
        <s:bgColor indexed="64"/>
      </s:patternFill>
    </s:fill>
    <s:fill>
      <s:patternFill patternType="solid">
        <s:fgColor rgb="FFFFC7CE"/>
        <s:bgColor indexed="64"/>
      </s:patternFill>
    </s:fill>
    <s:fill>
      <s:patternFill patternType="solid">
        <s:fgColor rgb="FFFFEB9C"/>
        <s:bgColor indexed="64"/>
      </s:patternFill>
    </s:fill>
    <s:fill>
      <s:patternFill patternType="solid">
        <s:fgColor rgb="FFFFF2CC"/>
        <s:bgColor indexed="64"/>
      </s:patternFill>
    </s:fill>
    <s:fill>
      <s:patternFill patternType="solid">
        <s:fgColor rgb="FFC6EFCE"/>
        <s:bgColor indexed="64"/>
      </s:patternFill>
    </s:fill>
    <s:fill>
      <s:patternFill patternType="solid">
        <s:fgColor rgb="FF375623"/>
        <s:bgColor indexed="64"/>
      </s:patternFill>
    </s:fill>
    <s:fill>
      <s:patternFill patternType="solid">
        <s:fgColor rgb="FF7030A0"/>
        <s:bgColor indexed="64"/>
      </s:patternFill>
    </s:fill>
    <s:fill>
      <s:patternFill patternType="solid">
        <s:fgColor rgb="FFBF8F00"/>
        <s:bgColor indexed="64"/>
      </s:patternFill>
    </s:fill>
  </s:fills>
  <s:borders count="5">
    <s:border>
      <s:left/>
      <s:right/>
      <s:top/>
      <s:bottom/>
      <s:diagonal/>
    </s:border>
    <s:border>
      <s:left/>
      <s:right/>
      <s:top/>
      <s:bottom/>
      <s:diagonal/>
    </s:border>
    <s:border>
      <s:left/>
      <s:right/>
      <s:top/>
      <s:bottom/>
      <s:diagonal/>
    </s:border>
    <s:border>
      <s:left/>
      <s:right/>
      <s:top/>
      <s:bottom/>
      <s:diagonal/>
    </s:border>
    <s:border>
      <s:left style="thin">
        <s:color rgb="FFBFBFBF"/>
      </s:left>
      <s:right style="thin">
        <s:color rgb="FFBFBFBF"/>
      </s:right>
      <s:top style="thin">
        <s:color rgb="FFBFBFBF"/>
      </s:top>
      <s:bottom style="thin">
        <s:color rgb="FFBFBFBF"/>
      </s:bottom>
      <s:diagonal/>
    </s:border>
  </s:borders>
  <s:cellStyleXfs count="1">
    <s:xf numFmtId="0" fontId="0" fillId="0" borderId="0"/>
  </s:cellStyleXfs>
  <s:cellXfs count="37">
    <s:xf numFmtId="0" fontId="0" fillId="0" borderId="0" xfId="0"/>
    <s:xf numFmtId="164" fontId="0" fillId="0" borderId="0" xfId="0" applyNumberFormat="1"/>
    <s:xf numFmtId="166" fontId="0" fillId="0" borderId="0" xfId="0" applyNumberFormat="1"/>
    <s:xf numFmtId="0" fontId="0" fillId="0" borderId="0" xfId="0" applyAlignment="1"/>
    <s:xf numFmtId="164" fontId="0" fillId="0" borderId="0" xfId="0" applyNumberFormat="1" applyAlignment="1">
      <s:alignment horizontal="right" mc:Ignorable="vyd"/>
    </s:xf>
    <s:xf numFmtId="0" fontId="0" fillId="0" borderId="0" xfId="0" applyAlignment="1">
      <s:alignment horizontal="right" mc:Ignorable="vyd"/>
    </s:xf>
    <s:xf numFmtId="0" fontId="0" fillId="0" borderId="1" xfId="0" applyBorder="1" applyAlignment="1"/>
    <s:xf numFmtId="167" fontId="0" fillId="0" borderId="0" xfId="0" applyNumberFormat="1" applyAlignment="1"/>
    <s:xf numFmtId="168" fontId="0" fillId="0" borderId="0" xfId="0" quotePrefix="1" applyNumberFormat="1"/>
    <s:xf numFmtId="0" fontId="0" fillId="0" borderId="0" xfId="0" quotePrefix="1"/>
    <s:xf numFmtId="0" fontId="1" fillId="0" borderId="2" xfId="0" applyFont="1" applyBorder="1"/>
    <s:xf numFmtId="0" fontId="0" fillId="0" borderId="2" xfId="0" applyBorder="1"/>
    <s:xf numFmtId="0" fontId="0" fillId="2" borderId="2" xfId="0" applyFill="1" applyBorder="1"/>
    <s:xf numFmtId="164" fontId="1" fillId="0" borderId="2" xfId="0" applyNumberFormat="1" applyFont="1" applyBorder="1"/>
    <s:xf numFmtId="164" fontId="0" fillId="2" borderId="2" xfId="0" applyNumberFormat="1" applyFill="1" applyBorder="1"/>
    <s:xf numFmtId="0" fontId="0" fillId="0" borderId="3" xfId="0" applyBorder="1" applyAlignment="1">
      <s:alignment horizontal="left" mc:Ignorable="vyd"/>
    </s:xf>
    <s:xf numFmtId="169" fontId="0" fillId="0" borderId="2" xfId="0" quotePrefix="1" applyNumberFormat="1" applyBorder="1"/>
    <s:xf numFmtId="170" fontId="0" fillId="0" borderId="2" xfId="0" quotePrefix="1" applyNumberFormat="1" applyBorder="1"/>
    <s:xf numFmtId="14" fontId="0" fillId="0" borderId="0" xfId="0" applyNumberFormat="1"/>
    <s:xf numFmtId="0" fontId="2" fillId="3" borderId="0" xfId="0" applyFont="1" applyFill="1" applyAlignment="1">
      <s:alignment horizontal="center" mc:Ignorable="vyd"/>
    </s:xf>
    <s:xf numFmtId="164" fontId="2" fillId="3" borderId="0" xfId="0" applyNumberFormat="1" applyFont="1" applyFill="1" applyAlignment="1">
      <s:alignment horizontal="center" mc:Ignorable="vyd"/>
    </s:xf>
    <s:xf numFmtId="16" fontId="0" fillId="0" borderId="0" xfId="0" applyNumberFormat="1"/>
    <s:xf numFmtId="172" fontId="0" fillId="0" borderId="0" xfId="0" applyNumberFormat="1"/>
    <s:xf numFmtId="172" fontId="2" fillId="3" borderId="0" xfId="0" applyNumberFormat="1" applyFont="1" applyFill="1" applyAlignment="1">
      <s:alignment horizontal="center" mc:Ignorable="vyd"/>
    </s:xf>
    <s:xf numFmtId="0" fontId="3" fillId="3" borderId="0" xfId="0" applyFont="1" applyFill="1" applyAlignment="1">
      <s:alignment horizontal="center" vertical="center" mc:Ignorable="vyd"/>
    </s:xf>
    <s:xf numFmtId="0" fontId="4" fillId="4" borderId="0" xfId="0" applyFont="1" applyFill="1" applyAlignment="1">
      <s:alignment horizontal="center" mc:Ignorable="vyd"/>
    </s:xf>
    <s:xf numFmtId="0" fontId="2" fillId="5" borderId="4" xfId="0" applyFont="1" applyFill="1" applyBorder="1" applyAlignment="1">
      <s:alignment horizontal="center" mc:Ignorable="vyd"/>
    </s:xf>
    <s:xf numFmtId="0" fontId="0" fillId="0" borderId="4" xfId="0" applyBorder="1"/>
    <s:xf numFmtId="0" fontId="0" fillId="6" borderId="4" xfId="0" applyFill="1" applyBorder="1"/>
    <s:xf numFmtId="0" fontId="0" fillId="7" borderId="4" xfId="0" applyFill="1" applyBorder="1"/>
    <s:xf numFmtId="0" fontId="0" fillId="8" borderId="4" xfId="0" applyFill="1" applyBorder="1"/>
    <s:xf numFmtId="0" fontId="0" fillId="9" borderId="4" xfId="0" applyFill="1" applyBorder="1"/>
    <s:xf numFmtId="0" fontId="2" fillId="10" borderId="4" xfId="0" applyFont="1" applyFill="1" applyBorder="1" applyAlignment="1">
      <s:alignment horizontal="center" mc:Ignorable="vyd"/>
    </s:xf>
    <s:xf numFmtId="9" fontId="0" fillId="0" borderId="4" xfId="0" applyNumberFormat="1" applyBorder="1"/>
    <s:xf numFmtId="0" fontId="2" fillId="11" borderId="4" xfId="0" applyFont="1" applyFill="1" applyBorder="1" applyAlignment="1">
      <s:alignment horizontal="center" mc:Ignorable="vyd"/>
    </s:xf>
    <s:xf numFmtId="0" fontId="2" fillId="12" borderId="4" xfId="0" applyFont="1" applyFill="1" applyBorder="1" applyAlignment="1">
      <s:alignment horizontal="center" mc:Ignorable="vyd"/>
    </s:xf>
    <s:xf numFmtId="172" fontId="0" fillId="0" borderId="4" xfId="0" applyNumberFormat="1" applyBorder="1"/>
  </s:cellXfs>
  <s:cellStyles count="1">
    <s:cellStyle name="Обычный" xfId="0" builtinId="0" customBuiltin="1"/>
  </s:cellStyles>
  <s:dxfs count="7">
    <s:dxf>
      <s:fill>
        <s:patternFill>
          <s:bgColor rgb="FFFFC7CE"/>
        </s:patternFill>
      </s:fill>
    </s:dxf>
    <s:dxf>
      <s:fill>
        <s:patternFill>
          <s:bgColor rgb="FFC6EFCE"/>
        </s:patternFill>
      </s:fill>
    </s:dxf>
    <s:dxf>
      <s:fill>
        <s:patternFill>
          <s:bgColor rgb="FFFFEB9C"/>
        </s:patternFill>
      </s:fill>
    </s:dxf>
    <s:dxf>
      <s:fill>
        <s:patternFill>
          <s:bgColor rgb="FFFFC7CE"/>
        </s:patternFill>
      </s:fill>
    </s:dxf>
    <s:dxf>
      <s:fill>
        <s:patternFill>
          <s:bgColor rgb="FFD9D9D9"/>
        </s:patternFill>
      </s:fill>
    </s:dxf>
    <s:dxf>
      <s:fill>
        <s:patternFill>
          <s:bgColor rgb="FFFFEB9C"/>
        </s:patternFill>
      </s:fill>
    </s:dxf>
    <s:dxf>
      <s:fill>
        <s:patternFill>
          <s:bgColor rgb="FFC6EF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17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externalLink" Target="externalLinks/externalLink1.xml"/><Relationship Target="theme/theme1.xml" Type="http://schemas.openxmlformats.org/officeDocument/2006/relationships/theme" Id="rId1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/Relationships>
</file>

<file path=xl/charts/chart1.xml><?xml version="1.0" encoding="utf-8"?>
<c:chartSpace xmlns:vyd="http://volga.yandex.com/schemas/document/model" xmlns:a="http://schemas.openxmlformats.org/drawingml/2006/main" xmlns:c="http://schemas.openxmlformats.org/drawingml/2006/chart" xmlns:mc="http://schemas.openxmlformats.org/markup-compatibility/2006">
  <c:date1904 val="0"/>
  <c:lang val="ru-RU"/>
  <c:roundedCorners val="0"/>
  <c:chart>
    <c:title mc:Ignorable="vyd">
      <c:tx>
        <c:rich>
          <a:bodyPr lIns="0" tIns="0" rIns="0" bIns="0"/>
          <a:lstStyle/>
          <a:p>
            <a:pPr>
              <a:defRPr/>
            </a:pPr>
            <a:r>
              <a:rPr lang="ru-RU"/>
              <a:t>Статусы задач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Дашборд!$J$4</c:f>
              <c:strCache>
                <c:ptCount val="1"/>
                <c:pt idx="0">
                  <c:v>Количество</c:v>
                </c:pt>
              </c:strCache>
            </c:strRef>
          </c:tx>
          <c:cat>
            <c:strRef>
              <c:f>Дашборд!$I$5:$I$7</c:f>
              <c:strCache>
                <c:ptCount val="3"/>
                <c:pt idx="0">
                  <c:v>Готово</c:v>
                </c:pt>
                <c:pt idx="1">
                  <c:v>В работе</c:v>
                </c:pt>
                <c:pt idx="2">
                  <c:v>Не начато</c:v>
                </c:pt>
              </c:strCache>
            </c:strRef>
          </c:cat>
          <c:val>
            <c:numRef>
              <c:f>Дашборд!$J$5:$J$7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 mc:Ignorable="vyd"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12</xdr:col>
      <xdr:colOff>304800</xdr:colOff>
      <xdr:row>1</xdr:row>
      <xdr:rowOff>130175</xdr:rowOff>
    </xdr:from>
    <xdr:to>
      <xdr:col>18</xdr:col>
      <xdr:colOff>457200</xdr:colOff>
      <xdr:row>16</xdr:row>
      <xdr:rowOff>155575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externalLinks/_rels/externalLink1.xml.rels><?xml version="1.0" ?><Relationships xmlns="http://schemas.openxmlformats.org/package/2006/relationships"><Relationship Id="rId1" Type="http://schemas.microsoft.com/office/2006/relationships/xlExternalLinkPath/xlPathMissing" Target="&#1054;&#1094;&#1077;&#1085;&#1086;&#1095;&#1085;&#1099;&#1081;_&#1083;&#1080;&#1089;&#1090;" TargetMode="External"/></Relationships>
</file>

<file path=xl/externalLinks/externalLink1.xml><?xml version="1.0" encoding="utf-8"?>
<s:externalLink xmlns:r="http://schemas.openxmlformats.org/officeDocument/2006/relationships" xmlns:s="http://schemas.openxmlformats.org/spreadsheetml/2006/main" xmlns:x14="http://schemas.microsoft.com/office/spreadsheetml/2009/9/main" xmlns:mc="http://schemas.openxmlformats.org/markup-compatibility/2006" mc:Ignorable="x14">
  <s:externalBook r:id="rId1">
    <s:sheetNames>
      <s:sheetName val="Оценочный_лист"/>
    </s:sheetNames>
    <s:sheetDataSet>
      <s:sheetData sheetId="0" refreshError="1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/>
        <a:ea typeface=""/>
        <a:cs typeface=""/>
        <a:font script="Geor" typeface="Sylfaen"/>
      </a:majorFont>
      <a:minorFont>
        <a:latin typeface="Arimo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37"/>
  <s:dimension ref="A1:D4"/>
  <s:sheetViews>
    <s:sheetView tabSelected="0" workbookViewId="0"/>
  </s:sheetViews>
  <s:sheetFormatPr defaultColWidth="10" defaultRowHeight="12.75"/>
  <s:cols>
    <s:col min="1" max="1" width="10.141" style="1" bestFit="1" customWidth="1"/>
    <s:col min="2" max="2" width="13.57" bestFit="1" customWidth="1"/>
    <s:col min="3" max="3" width="8.141" style="22" bestFit="1" customWidth="1"/>
    <s:col min="4" max="4" width="20.57" bestFit="1" customWidth="1"/>
  </s:cols>
  <s:sheetData>
    <s:row r="1" spans="1:4">
      <s:c r="A1" s="20" t="s">
        <s:v>162</s:v>
      </s:c>
      <s:c r="B1" s="19" t="s">
        <s:v>171</s:v>
      </s:c>
      <s:c r="C1" s="23" t="s">
        <s:v>172</s:v>
      </s:c>
      <s:c r="D1" s="19" t="s">
        <s:v>173</s:v>
      </s:c>
    </s:row>
    <s:row r="2" spans="1:4">
      <s:c r="A2" s="1">
        <s:v>46266</s:v>
      </s:c>
      <s:c r="B2" t="s">
        <s:v>174</s:v>
      </s:c>
      <s:c r="C2" s="22">
        <s:v>150000</s:v>
      </s:c>
      <s:c r="D2" t="s">
        <s:v>175</s:v>
      </s:c>
    </s:row>
    <s:row r="3" spans="1:4">
      <s:c r="A3" s="1">
        <s:v>46270</s:v>
      </s:c>
      <s:c r="B3" t="s">
        <s:v>45</s:v>
      </s:c>
      <s:c r="C3" s="22">
        <s:v>45000</s:v>
      </s:c>
      <s:c r="D3" t="s">
        <s:v>176</s:v>
      </s:c>
    </s:row>
    <s:row r="4" spans="1:4">
      <s:c r="A4" s="1">
        <s:v>46275</s:v>
      </s:c>
      <s:c r="B4" t="s">
        <s:v>177</s:v>
      </s:c>
      <s:c r="C4" s="22">
        <s:v>-20000</s:v>
      </s:c>
      <s:c r="D4" t="s">
        <s:v>178</s:v>
      </s:c>
    </s:row>
  </s:sheetData>
  <s:pageMargins left="0.7" right="0.7" top="0.75" bottom="0.75" header="0.3" footer="0.3"/>
</s:worksheet>
</file>

<file path=xl/worksheets/sheet2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36"/>
  <s:dimension ref="A1:G3"/>
  <s:sheetViews>
    <s:sheetView tabSelected="0" workbookViewId="0"/>
  </s:sheetViews>
  <s:sheetFormatPr defaultColWidth="10" defaultRowHeight="12.75"/>
  <s:cols>
    <s:col min="1" max="1" width="6.855" bestFit="1" customWidth="1"/>
    <s:col min="2" max="2" width="10.141" style="1" bestFit="1" customWidth="1"/>
    <s:col min="3" max="3" width="14.57" bestFit="1" customWidth="1"/>
    <s:col min="4" max="4" width="13.141" bestFit="1" customWidth="1"/>
    <s:col min="5" max="5" width="14.855" bestFit="1" customWidth="1"/>
    <s:col min="6" max="6" width="7.57" bestFit="1" customWidth="1"/>
    <s:col min="7" max="7" width="12.285" style="1" bestFit="1" customWidth="1"/>
  </s:cols>
  <s:sheetData>
    <s:row r="1" spans="1:7">
      <s:c r="A1" s="19" t="s">
        <s:v>161</s:v>
      </s:c>
      <s:c r="B1" s="20" t="s">
        <s:v>162</s:v>
      </s:c>
      <s:c r="C1" s="19" t="s">
        <s:v>163</s:v>
      </s:c>
      <s:c r="D1" s="19" t="s">
        <s:v>164</s:v>
      </s:c>
      <s:c r="E1" s="19" t="s">
        <s:v>165</s:v>
      </s:c>
      <s:c r="F1" s="19" t="s">
        <s:v>166</s:v>
      </s:c>
      <s:c r="G1" s="20" t="s">
        <s:v>167</s:v>
      </s:c>
    </s:row>
    <s:row r="2" spans="1:7">
      <s:c r="A2" s="21">
        <s:v>46145</s:v>
      </s:c>
      <s:c r="B2" s="1">
        <s:v>46282</s:v>
      </s:c>
      <s:c r="C2" t="s">
        <s:v>45</s:v>
      </s:c>
      <s:c r="D2" s="18">
        <s:v>1088428</s:v>
      </s:c>
      <s:c r="E2" t="s">
        <s:v>168</s:v>
      </s:c>
      <s:c r="F2" s="21">
        <s:v>46146</s:v>
      </s:c>
      <s:c r="G2" s="1">
        <s:v>46283</s:v>
      </s:c>
    </s:row>
    <s:row r="3" spans="1:7">
      <s:c r="A3" s="21">
        <s:v>46082</s:v>
      </s:c>
      <s:c r="B3" s="1">
        <s:v>46280</s:v>
      </s:c>
      <s:c r="C3" t="s">
        <s:v>46</s:v>
      </s:c>
      <s:c r="D3" t="s">
        <s:v>169</s:v>
      </s:c>
      <s:c r="E3" t="s">
        <s:v>170</s:v>
      </s:c>
    </s:row>
  </s:sheetData>
  <s:pageMargins left="0.7" right="0.7" top="0.75" bottom="0.75" header="0.3" footer="0.3"/>
</s:worksheet>
</file>

<file path=xl/worksheets/sheet3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35"/>
  <s:dimension ref="A1:C22"/>
  <s:sheetViews>
    <s:sheetView tabSelected="0" workbookViewId="0"/>
  </s:sheetViews>
  <s:sheetFormatPr defaultColWidth="10" defaultRowHeight="12.75"/>
  <s:cols>
    <s:col min="1" max="1" width="6.141" bestFit="1" customWidth="1"/>
    <s:col min="2" max="2" width="33.141" bestFit="1" customWidth="1"/>
    <s:col min="3" max="3" width="17.426" bestFit="1" customWidth="1"/>
  </s:cols>
  <s:sheetData>
    <s:row r="1" spans="1:3">
      <s:c r="A1" s="19" t="s">
        <s:v>102</s:v>
      </s:c>
      <s:c r="B1" s="19" t="s">
        <s:v>118</s:v>
      </s:c>
      <s:c r="C1" s="19" t="s">
        <s:v>119</s:v>
      </s:c>
    </s:row>
    <s:row r="2" spans="1:3">
      <s:c r="A2" t="s">
        <s:v>120</s:v>
      </s:c>
      <s:c r="B2" t="s">
        <s:v>121</s:v>
      </s:c>
      <s:c r="C2" t="s">
        <s:v>122</s:v>
      </s:c>
    </s:row>
    <s:row r="3" spans="1:3">
      <s:c r="A3" t="s">
        <s:v>123</s:v>
      </s:c>
      <s:c r="B3" t="s">
        <s:v>124</s:v>
      </s:c>
      <s:c r="C3" t="s">
        <s:v>122</s:v>
      </s:c>
    </s:row>
    <s:row r="4" spans="1:3">
      <s:c r="A4" t="s">
        <s:v>125</s:v>
      </s:c>
      <s:c r="B4" t="s">
        <s:v>126</s:v>
      </s:c>
      <s:c r="C4" t="s">
        <s:v>122</s:v>
      </s:c>
    </s:row>
    <s:row r="5" spans="1:3">
      <s:c r="A5" t="s">
        <s:v>127</s:v>
      </s:c>
      <s:c r="B5" t="s">
        <s:v>128</s:v>
      </s:c>
      <s:c r="C5" t="s">
        <s:v>122</s:v>
      </s:c>
    </s:row>
    <s:row r="6" spans="1:3">
      <s:c r="A6" t="s">
        <s:v>129</s:v>
      </s:c>
      <s:c r="B6" t="s">
        <s:v>130</s:v>
      </s:c>
      <s:c r="C6" t="s">
        <s:v>122</s:v>
      </s:c>
    </s:row>
    <s:row r="7" spans="1:3">
      <s:c r="A7" t="s">
        <s:v>131</s:v>
      </s:c>
      <s:c r="B7" t="s">
        <s:v>132</s:v>
      </s:c>
      <s:c r="C7" t="s">
        <s:v>122</s:v>
      </s:c>
    </s:row>
    <s:row r="8" spans="1:3">
      <s:c r="A8" t="s">
        <s:v>133</s:v>
      </s:c>
      <s:c r="B8" t="s">
        <s:v>134</s:v>
      </s:c>
      <s:c r="C8" t="s">
        <s:v>122</s:v>
      </s:c>
    </s:row>
    <s:row r="9" spans="1:3">
      <s:c r="A9" t="s">
        <s:v>135</s:v>
      </s:c>
      <s:c r="B9" t="s">
        <s:v>136</s:v>
      </s:c>
      <s:c r="C9" t="s">
        <s:v>122</s:v>
      </s:c>
    </s:row>
    <s:row r="10" spans="1:3">
      <s:c r="A10" t="s">
        <s:v>137</s:v>
      </s:c>
      <s:c r="B10" t="s">
        <s:v>138</s:v>
      </s:c>
      <s:c r="C10" t="s">
        <s:v>122</s:v>
      </s:c>
    </s:row>
    <s:row r="11" spans="1:3">
      <s:c r="A11" t="s">
        <s:v>158</s:v>
      </s:c>
      <s:c r="B11" t="s">
        <s:v>139</s:v>
      </s:c>
      <s:c r="C11" t="s">
        <s:v>122</s:v>
      </s:c>
    </s:row>
    <s:row r="12" spans="1:3">
      <s:c r="A12" t="s">
        <s:v>140</s:v>
      </s:c>
      <s:c r="B12" t="s">
        <s:v>141</s:v>
      </s:c>
      <s:c r="C12" t="s">
        <s:v>122</s:v>
      </s:c>
    </s:row>
    <s:row r="13" spans="1:3">
      <s:c r="A13" t="s">
        <s:v>142</s:v>
      </s:c>
      <s:c r="B13" t="s">
        <s:v>143</s:v>
      </s:c>
      <s:c r="C13" t="s">
        <s:v>144</s:v>
      </s:c>
    </s:row>
    <s:row r="14" spans="1:3">
      <s:c r="A14" t="s">
        <s:v>145</s:v>
      </s:c>
      <s:c r="B14" t="s">
        <s:v>146</s:v>
      </s:c>
      <s:c r="C14" t="s">
        <s:v>144</s:v>
      </s:c>
    </s:row>
    <s:row r="15" spans="1:3">
      <s:c r="A15" t="s">
        <s:v>147</s:v>
      </s:c>
      <s:c r="B15" t="s">
        <s:v>148</s:v>
      </s:c>
      <s:c r="C15" t="s">
        <s:v>144</s:v>
      </s:c>
    </s:row>
    <s:row r="16" spans="1:3">
      <s:c r="A16" t="s">
        <s:v>149</s:v>
      </s:c>
      <s:c r="B16" t="s">
        <s:v>150</s:v>
      </s:c>
      <s:c r="C16" t="s">
        <s:v>122</s:v>
      </s:c>
    </s:row>
    <s:row r="17" spans="1:3">
      <s:c r="A17" t="s">
        <s:v>151</s:v>
      </s:c>
      <s:c r="B17" t="s">
        <s:v>152</s:v>
      </s:c>
      <s:c r="C17" t="s">
        <s:v>122</s:v>
      </s:c>
    </s:row>
    <s:row r="18" spans="1:3">
      <s:c r="A18">
        <s:v>2.1</s:v>
      </s:c>
      <s:c r="B18" t="s">
        <s:v>153</s:v>
      </s:c>
      <s:c r="C18" t="s">
        <s:v>122</s:v>
      </s:c>
    </s:row>
    <s:row r="19" spans="1:3">
      <s:c r="A19">
        <s:v>2.2000000000000002</s:v>
      </s:c>
      <s:c r="B19" t="s">
        <s:v>154</s:v>
      </s:c>
      <s:c r="C19" t="s">
        <s:v>144</s:v>
      </s:c>
    </s:row>
    <s:row r="20" spans="1:3">
      <s:c r="A20">
        <s:v>3</s:v>
      </s:c>
      <s:c r="B20" t="s">
        <s:v>155</s:v>
      </s:c>
      <s:c r="C20" t="s">
        <s:v>122</s:v>
      </s:c>
    </s:row>
    <s:row r="21" spans="1:3">
      <s:c r="A21">
        <s:v>4</s:v>
      </s:c>
      <s:c r="B21" t="s">
        <s:v>156</s:v>
      </s:c>
      <s:c r="C21" t="s">
        <s:v>122</s:v>
      </s:c>
    </s:row>
    <s:row r="22" spans="1:3">
      <s:c r="A22">
        <s:v>5</s:v>
      </s:c>
      <s:c r="B22" t="s">
        <s:v>157</s:v>
      </s:c>
      <s:c r="C22" t="s">
        <s:v>122</s:v>
      </s:c>
    </s:row>
  </s:sheetData>
  <s:conditionalFormatting sqref="C2:C100">
    <s:cfRule type="cellIs" dxfId="1" priority="1" stopIfTrue="1" operator="equal">
      <s:formula>"Да"</s:formula>
    </s:cfRule>
    <s:cfRule type="cellIs" dxfId="0" priority="2" stopIfTrue="1" operator="equal">
      <s:formula>"Нет"</s:formula>
    </s:cfRule>
  </s:conditionalFormatting>
  <s:pageMargins left="0.7" right="0.7" top="0.75" bottom="0.75" header="0.3" footer="0.3"/>
</s:worksheet>
</file>

<file path=xl/worksheets/sheet4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34"/>
  <s:dimension ref="A1:G4"/>
  <s:sheetViews>
    <s:sheetView tabSelected="0" workbookViewId="0"/>
  </s:sheetViews>
  <s:sheetFormatPr defaultColWidth="10" defaultRowHeight="12.75"/>
  <s:cols>
    <s:col min="1" max="1" width="3" bestFit="1" customWidth="1"/>
    <s:col min="2" max="2" width="25.285" bestFit="1" customWidth="1"/>
    <s:col min="3" max="3" width="4.426" bestFit="1" customWidth="1"/>
    <s:col min="4" max="4" width="10.141" style="1" bestFit="1" customWidth="1"/>
    <s:col min="5" max="5" width="9.57" bestFit="1" customWidth="1"/>
    <s:col min="6" max="6" width="15.711" bestFit="1" customWidth="1"/>
    <s:col min="7" max="7" width="13.855" bestFit="1" customWidth="1"/>
  </s:cols>
  <s:sheetData>
    <s:row r="1" spans="1:7">
      <s:c r="A1" s="19" t="s">
        <s:v>102</s:v>
      </s:c>
      <s:c r="B1" s="19" t="s">
        <s:v>103</s:v>
      </s:c>
      <s:c r="C1" s="19" t="s">
        <s:v>104</s:v>
      </s:c>
      <s:c r="D1" s="20" t="s">
        <s:v>105</s:v>
      </s:c>
      <s:c r="E1" s="19" t="s">
        <s:v>106</s:v>
      </s:c>
      <s:c r="F1" s="19" t="s">
        <s:v>107</s:v>
      </s:c>
      <s:c r="G1" s="19" t="s">
        <s:v>108</s:v>
      </s:c>
    </s:row>
    <s:row r="2" spans="1:7">
      <s:c r="A2">
        <s:v>1</s:v>
      </s:c>
      <s:c r="B2" t="s">
        <s:v>109</s:v>
      </s:c>
      <s:c r="C2" t="s">
        <s:v>110</s:v>
      </s:c>
      <s:c r="D2" s="1">
        <s:v>46284</s:v>
      </s:c>
      <s:c r="E2" t="s">
        <s:v>76</s:v>
      </s:c>
      <s:c r="F2" t="s">
        <s:v>111</s:v>
      </s:c>
      <s:c r="G2" t="s">
        <s:v>112</s:v>
      </s:c>
    </s:row>
    <s:row r="3" spans="1:7">
      <s:c r="A3">
        <s:v>2</s:v>
      </s:c>
      <s:c r="B3" t="s">
        <s:v>113</s:v>
      </s:c>
      <s:c r="C3" t="s">
        <s:v>114</s:v>
      </s:c>
      <s:c r="D3" s="1">
        <s:v>46285</s:v>
      </s:c>
      <s:c r="E3" t="s">
        <s:v>115</s:v>
      </s:c>
      <s:c r="F3" t="s">
        <s:v>111</s:v>
      </s:c>
    </s:row>
    <s:row r="4" spans="1:7">
      <s:c r="A4">
        <s:v>3</s:v>
      </s:c>
      <s:c r="B4" t="s">
        <s:v>116</s:v>
      </s:c>
      <s:c r="C4" t="s">
        <s:v>117</s:v>
      </s:c>
      <s:c r="D4" s="1">
        <s:v>46284</s:v>
      </s:c>
      <s:c r="E4" t="s">
        <s:v>78</s:v>
      </s:c>
      <s:c r="F4" t="s">
        <s:v>111</s:v>
      </s:c>
    </s:row>
  </s:sheetData>
  <s:conditionalFormatting sqref="E2:E100">
    <s:cfRule type="cellIs" dxfId="6" priority="1" stopIfTrue="1" operator="equal">
      <s:formula>"Готово"</s:formula>
    </s:cfRule>
    <s:cfRule type="cellIs" dxfId="5" priority="2" stopIfTrue="1" operator="equal">
      <s:formula>"В работе"</s:formula>
    </s:cfRule>
    <s:cfRule type="cellIs" dxfId="4" priority="3" stopIfTrue="1" operator="equal">
      <s:formula>"Не начато"</s:formula>
    </s:cfRule>
  </s:conditionalFormatting>
  <s:conditionalFormatting sqref="D2:D100">
    <s:cfRule type="cellIs" dxfId="3" priority="4" stopIfTrue="1" operator="lessThan">
      <s:formula>TODAY()</s:formula>
    </s:cfRule>
    <s:cfRule type="cellIs" dxfId="2" priority="5" stopIfTrue="1" operator="equal">
      <s:formula>TODAY()</s:formula>
    </s:cfRule>
  </s:conditionalFormatting>
  <s:pageMargins left="0.7" right="0.7" top="0.75" bottom="0.75" header="0.3" footer="0.3"/>
</s:worksheet>
</file>

<file path=xl/worksheets/sheet5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 codeName="Лист33"/>
  <s:dimension ref="A1:J14"/>
  <s:sheetViews>
    <s:sheetView showGridLines="0" tabSelected="0" workbookViewId="0">
      <s:selection activeCell="J32" sqref="J32"/>
    </s:sheetView>
  </s:sheetViews>
  <s:sheetFormatPr defaultColWidth="10" defaultRowHeight="12.75"/>
  <s:cols>
    <s:col min="1" max="1" width="30.711" customWidth="1"/>
    <s:col min="2" max="2" width="15.711" customWidth="1"/>
    <s:col min="3" max="4" width="3.711" customWidth="1"/>
    <s:col min="5" max="5" width="25.711" customWidth="1"/>
    <s:col min="6" max="6" width="15.711" customWidth="1"/>
    <s:col min="7" max="8" width="3.711" customWidth="1"/>
  </s:cols>
  <s:sheetData>
    <s:row r="1" spans="1:10" ht="39.95" customHeight="1">
      <s:c r="A1" s="24" t="s">
        <s:v>66</s:v>
      </s:c>
      <s:c r="B1" s="24"/>
      <s:c r="C1" s="24"/>
      <s:c r="D1" s="24"/>
      <s:c r="E1" s="24"/>
      <s:c r="F1" s="24"/>
      <s:c r="G1" s="24"/>
      <s:c r="H1" s="24"/>
    </s:row>
    <s:row r="2" spans="1:10" ht="20.1" customHeight="1">
      <s:c r="A2" s="25" t="str">
        <s:f ca="1">"Дата обновления: "&amp;TEXT(TODAY(),"ДД.ММ.ГГГГ")</s:f>
        <s:v>Дата обновления: 20.09.2026</s:v>
      </s:c>
      <s:c r="B2" s="25"/>
      <s:c r="C2" s="25"/>
      <s:c r="D2" s="25"/>
      <s:c r="E2" s="25"/>
      <s:c r="F2" s="25"/>
      <s:c r="G2" s="25"/>
      <s:c r="H2" s="25"/>
    </s:row>
    <s:row r="4" spans="1:10">
      <s:c r="A4" s="26" t="s">
        <s:v>179</s:v>
      </s:c>
      <s:c r="B4" s="26"/>
      <s:c r="C4" s="26"/>
      <s:c r="E4" s="32" t="s">
        <s:v>180</s:v>
      </s:c>
      <s:c r="F4" s="32"/>
      <s:c r="G4" s="32"/>
      <s:c r="I4" t="s">
        <s:v>106</s:v>
      </s:c>
      <s:c r="J4" t="s">
        <s:v>183</s:v>
      </s:c>
    </s:row>
    <s:row r="5" spans="1:10">
      <s:c r="A5" s="27" t="s">
        <s:v>70</s:v>
      </s:c>
      <s:c r="B5" s="27">
        <s:f>COUNTA(Задачи!A:A)-1</s:f>
        <s:v>3</s:v>
      </s:c>
      <s:c r="C5" s="27"/>
      <s:c r="E5" s="27" t="s">
        <s:v>82</s:v>
      </s:c>
      <s:c r="F5" s="27">
        <s:f>COUNTIF(Оценочный_лист!C:C,"Да")</s:f>
        <s:v>17</s:v>
      </s:c>
      <s:c r="G5" s="27"/>
      <s:c r="I5" t="s">
        <s:v>78</s:v>
      </s:c>
      <s:c r="J5">
        <s:f>COUNTIF(Задачи!E:E,"Готово")</s:f>
        <s:v>1</s:v>
      </s:c>
    </s:row>
    <s:row r="6" spans="1:10">
      <s:c r="A6" s="27" t="s">
        <s:v>72</s:v>
      </s:c>
      <s:c r="B6" s="28">
        <s:f ca="1">COUNTIFS(Задачи!E:E,"&lt;&gt;Готово",Задачи!D:D,"&lt;"&amp;TODAY())</s:f>
        <s:v>1</s:v>
      </s:c>
      <s:c r="C6" s="27"/>
      <s:c r="E6" s="27" t="s">
        <s:v>84</s:v>
      </s:c>
      <s:c r="F6" s="27">
        <s:f>COUNTA(Оценочный_лист!A:A)-1</s:f>
        <s:v>21</s:v>
      </s:c>
      <s:c r="G6" s="27"/>
      <s:c r="I6" t="s">
        <s:v>76</s:v>
      </s:c>
      <s:c r="J6">
        <s:f>COUNTIF(Задачи!E:E,"В работе")</s:f>
        <s:v>1</s:v>
      </s:c>
    </s:row>
    <s:row r="7" spans="1:10">
      <s:c r="A7" s="27" t="s">
        <s:v>74</s:v>
      </s:c>
      <s:c r="B7" s="29">
        <s:f ca="1">COUNTIF(Задачи!D:D,TODAY())</s:f>
        <s:v>1</s:v>
      </s:c>
      <s:c r="C7" s="27"/>
      <s:c r="E7" s="27" t="s">
        <s:v>86</s:v>
      </s:c>
      <s:c r="F7" s="33">
        <s:f>IF(F6=0,0,F5/F6)</s:f>
        <s:v>0.80952380952380953</s:v>
      </s:c>
      <s:c r="G7" s="27"/>
      <s:c r="I7" t="s">
        <s:v>115</s:v>
      </s:c>
      <s:c r="J7">
        <s:f>COUNTIF(Задачи!E:E,"Не начато")</s:f>
        <s:v>1</s:v>
      </s:c>
    </s:row>
    <s:row r="8" spans="1:10">
      <s:c r="A8" s="27" t="s">
        <s:v>76</s:v>
      </s:c>
      <s:c r="B8" s="30">
        <s:f>COUNTIF(Задачи!E:E,"В работе")</s:f>
        <s:v>1</s:v>
      </s:c>
      <s:c r="C8" s="27"/>
    </s:row>
    <s:row r="9" spans="1:10">
      <s:c r="A9" s="27" t="s">
        <s:v>78</s:v>
      </s:c>
      <s:c r="B9" s="31">
        <s:f>COUNTIF(Задачи!E:E,"Готово")</s:f>
        <s:v>1</s:v>
      </s:c>
      <s:c r="C9" s="27"/>
    </s:row>
    <s:row r="11" spans="1:10">
      <s:c r="A11" s="34" t="s">
        <s:v>181</s:v>
      </s:c>
      <s:c r="B11" s="34"/>
      <s:c r="C11" s="34"/>
      <s:c r="E11" s="35" t="s">
        <s:v>182</s:v>
      </s:c>
      <s:c r="F11" s="35"/>
      <s:c r="G11" s="35"/>
    </s:row>
    <s:row r="12" spans="1:10">
      <s:c r="A12" s="27" t="s">
        <s:v>90</s:v>
      </s:c>
      <s:c r="B12" s="27">
        <s:f>COUNTA(Переписка!A:A)-1</s:f>
        <s:v>2</s:v>
      </s:c>
      <s:c r="C12" s="27"/>
      <s:c r="E12" s="27" t="s">
        <s:v>96</s:v>
      </s:c>
      <s:c r="F12" s="36">
        <s:v>0</s:v>
      </s:c>
      <s:c r="G12" s="27"/>
    </s:row>
    <s:row r="13" spans="1:10">
      <s:c r="A13" s="27" t="s">
        <s:v>92</s:v>
      </s:c>
      <s:c r="B13" s="27">
        <s:f>COUNTIF(Переписка!F:F,"")</s:f>
        <s:v>1048574</s:v>
      </s:c>
      <s:c r="C13" s="27"/>
      <s:c r="E13" s="27" t="s">
        <s:v>99</s:v>
      </s:c>
      <s:c r="F13" s="36">
        <s:f>SUMIF(Финансы!D:D,"Задолженность",Финансы!C:C)</s:f>
        <s:v>-20000</s:v>
      </s:c>
      <s:c r="G13" s="27"/>
    </s:row>
    <s:row r="14" spans="1:10">
      <s:c r="E14" s="27" t="s">
        <s:v>101</s:v>
      </s:c>
      <s:c r="F14" s="36">
        <s:v>0</s:v>
      </s:c>
      <s:c r="G14" s="27"/>
    </s:row>
  </s:sheetData>
  <s:mergeCells count="6">
    <s:mergeCell ref="A1:H1"/>
    <s:mergeCell ref="A2:H2"/>
    <s:mergeCell ref="A4:C4"/>
    <s:mergeCell ref="E4:G4"/>
    <s:mergeCell ref="A11:C11"/>
    <s:mergeCell ref="E11:G11"/>
  </s:mergeCells>
  <s:pageMargins left="0.7" right="0.7" top="0.75" bottom="0.75" header="0.3" footer="0.3"/>
  <s:drawing r:id="rId1"/>
</s:worksheet>
</file>

<file path=xl/worksheets/sheet6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1"/>
  <s:dimension ref="A1:I2"/>
  <s:sheetViews>
    <s:sheetView tabSelected="0" workbookViewId="0">
      <s:selection activeCell="J22" sqref="J22"/>
    </s:sheetView>
  </s:sheetViews>
  <s:sheetFormatPr defaultColWidth="13.426" defaultRowHeight="14.25" customHeight="1"/>
  <s:cols>
    <s:col min="1" max="1" width="15" customWidth="1"/>
    <s:col min="2" max="2" width="2" customWidth="1"/>
    <s:col min="8" max="8" width="14.855" customWidth="1"/>
  </s:cols>
  <s:sheetData>
    <s:row r="1" spans="1:9">
      <s:c r="A1" s="2">
        <s:v>46284.443749999999</s:v>
      </s:c>
      <s:c r="B1">
        <s:v>3</s:v>
      </s:c>
      <s:c r="C1" t="s">
        <s:v>1</s:v>
      </s:c>
      <s:c r="D1" t="s">
        <s:v>0</s:v>
      </s:c>
      <s:c r="E1" t="s">
        <s:v>3</s:v>
      </s:c>
      <s:c r="F1" t="s">
        <s:v>2</s:v>
      </s:c>
      <s:c r="G1" t="s">
        <s:v>4</s:v>
      </s:c>
      <s:c r="H1" s="2">
        <s:v>46284.461805555497</s:v>
      </s:c>
      <s:c r="I1" t="s">
        <s:v>60</s:v>
      </s:c>
    </s:row>
    <s:row r="2" spans="1:9">
      <s:c r="A2" s="2">
        <s:v>46276.845138888799</s:v>
      </s:c>
      <s:c r="B2">
        <s:v>2</s:v>
      </s:c>
      <s:c r="C2" t="s">
        <s:v>5</s:v>
      </s:c>
      <s:c r="D2" t="s">
        <s:v>6</s:v>
      </s:c>
      <s:c r="E2" t="s">
        <s:v>7</s:v>
      </s:c>
      <s:c r="F2" t="s">
        <s:v>8</s:v>
      </s:c>
      <s:c r="G2" t="s">
        <s:v>9</s:v>
      </s:c>
      <s:c r="H2" s="2">
        <s:v>46276.893055555498</s:v>
      </s:c>
      <s:c r="I2" t="s">
        <s:v>59</s:v>
      </s:c>
    </s:row>
  </s:sheetData>
  <s:pageMargins left="0.7" right="0.7" top="0.75" bottom="0.75" header="0.3" footer="0.3"/>
</s:worksheet>
</file>

<file path=xl/worksheets/sheet7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2"/>
  <s:dimension ref="A1:C28"/>
  <s:sheetViews>
    <s:sheetView tabSelected="0" workbookViewId="0"/>
  </s:sheetViews>
  <s:sheetFormatPr defaultColWidth="13.426" defaultRowHeight="14.25" customHeight="1"/>
  <s:sheetData>
    <s:row r="1" spans="1:3">
      <s:c r="A1" s="4">
        <s:v>46266</s:v>
      </s:c>
      <s:c r="B1" s="5">
        <s:v>2000</s:v>
      </s:c>
      <s:c r="C1" s="6" t="s">
        <s:v>10</s:v>
      </s:c>
    </s:row>
    <s:row r="2" spans="1:3">
      <s:c r="A2" s="4">
        <s:v>46266</s:v>
      </s:c>
      <s:c r="B2" s="5">
        <s:v>12500</s:v>
      </s:c>
      <s:c r="C2" s="6" t="s">
        <s:v>11</s:v>
      </s:c>
    </s:row>
    <s:row r="3" spans="1:3">
      <s:c r="A3" s="4">
        <s:v>46265</s:v>
      </s:c>
      <s:c r="B3" s="5">
        <s:v>1850</s:v>
      </s:c>
      <s:c r="C3" s="6" t="s">
        <s:v>12</s:v>
      </s:c>
    </s:row>
    <s:row r="4" spans="1:3">
      <s:c r="A4" s="4">
        <s:v>46263</s:v>
      </s:c>
      <s:c r="B4" s="5">
        <s:v>358</s:v>
      </s:c>
      <s:c r="C4" s="6" t="s">
        <s:v>13</s:v>
      </s:c>
    </s:row>
    <s:row r="5" spans="1:3">
      <s:c r="A5" s="4">
        <s:v>46259</s:v>
      </s:c>
      <s:c r="B5" s="5">
        <s:v>482</s:v>
      </s:c>
      <s:c r="C5" s="3" t="s">
        <s:v>14</s:v>
      </s:c>
    </s:row>
    <s:row r="6" spans="1:3">
      <s:c r="A6" s="4">
        <s:v>46248</s:v>
      </s:c>
      <s:c r="B6" s="5">
        <s:v>1271.05</s:v>
      </s:c>
      <s:c r="C6" s="6" t="s">
        <s:v>15</s:v>
      </s:c>
    </s:row>
    <s:row r="7" spans="1:3">
      <s:c r="A7" s="4">
        <s:v>46248</s:v>
      </s:c>
      <s:c r="B7" s="5">
        <s:v>100</s:v>
      </s:c>
      <s:c r="C7" s="6" t="s">
        <s:v>16</s:v>
      </s:c>
    </s:row>
    <s:row r="8" spans="1:3">
      <s:c r="A8" s="4">
        <s:v>46247</s:v>
      </s:c>
      <s:c r="B8" s="5">
        <s:v>6000</s:v>
      </s:c>
      <s:c r="C8" s="6" t="s">
        <s:v>17</s:v>
      </s:c>
    </s:row>
    <s:row r="9" spans="1:3">
      <s:c r="A9" s="4">
        <s:v>46231</s:v>
      </s:c>
      <s:c r="B9" s="5">
        <s:v>709.97</s:v>
      </s:c>
      <s:c r="C9" s="6" t="s">
        <s:v>18</s:v>
      </s:c>
    </s:row>
    <s:row r="10" spans="1:3">
      <s:c r="A10" s="4">
        <s:v>46231</s:v>
      </s:c>
      <s:c r="B10" s="5">
        <s:v>370</s:v>
      </s:c>
      <s:c r="C10" s="6" t="s">
        <s:v>19</s:v>
      </s:c>
    </s:row>
    <s:row r="11" spans="1:3">
      <s:c r="A11" s="4">
        <s:v>46231</s:v>
      </s:c>
      <s:c r="B11" s="5">
        <s:v>610</s:v>
      </s:c>
      <s:c r="C11" s="3" t="s">
        <s:v>20</s:v>
      </s:c>
    </s:row>
    <s:row r="12" spans="1:3">
      <s:c r="A12" s="4">
        <s:v>46230</s:v>
      </s:c>
      <s:c r="B12" s="5">
        <s:v>1152</s:v>
      </s:c>
      <s:c r="C12" s="3" t="s">
        <s:v>21</s:v>
      </s:c>
    </s:row>
    <s:row r="13" spans="1:3">
      <s:c r="A13" s="4">
        <s:v>46217</s:v>
      </s:c>
      <s:c r="B13" s="5">
        <s:v>7000</s:v>
      </s:c>
      <s:c r="C13" s="3" t="s">
        <s:v>22</s:v>
      </s:c>
    </s:row>
    <s:row r="14" spans="1:3">
      <s:c r="A14" s="4">
        <s:v>46217</s:v>
      </s:c>
      <s:c r="B14" s="5">
        <s:v>350</s:v>
      </s:c>
      <s:c r="C14" s="3" t="s">
        <s:v>23</s:v>
      </s:c>
    </s:row>
    <s:row r="15" spans="1:3">
      <s:c r="A15" s="4">
        <s:v>46216</s:v>
      </s:c>
      <s:c r="B15" s="5">
        <s:v>1136.9100000000001</s:v>
      </s:c>
      <s:c r="C15" s="6" t="s">
        <s:v>24</s:v>
      </s:c>
    </s:row>
    <s:row r="16" spans="1:3">
      <s:c r="A16" s="4">
        <s:v>46216</s:v>
      </s:c>
      <s:c r="B16" s="5">
        <s:v>1000</s:v>
      </s:c>
      <s:c r="C16" s="6" t="s">
        <s:v>25</s:v>
      </s:c>
    </s:row>
    <s:row r="17" spans="1:3">
      <s:c r="A17" s="5" t="s">
        <s:v>26</s:v>
      </s:c>
      <s:c r="B17" s="5">
        <s:v>250</s:v>
      </s:c>
      <s:c r="C17" s="3" t="s">
        <s:v>27</s:v>
      </s:c>
    </s:row>
    <s:row r="18" spans="1:3">
      <s:c r="A18" s="4">
        <s:v>46210</s:v>
      </s:c>
      <s:c r="B18" s="5">
        <s:v>178.9</s:v>
      </s:c>
      <s:c r="C18" s="3" t="s">
        <s:v>28</s:v>
      </s:c>
    </s:row>
    <s:row r="19" spans="1:3">
      <s:c r="A19" s="4">
        <s:v>46210</s:v>
      </s:c>
      <s:c r="B19" s="5">
        <s:v>50</s:v>
      </s:c>
      <s:c r="C19" s="3" t="s">
        <s:v>29</s:v>
      </s:c>
    </s:row>
    <s:row r="20" spans="1:3">
      <s:c r="A20" s="4">
        <s:v>46210</s:v>
      </s:c>
      <s:c r="B20" s="5">
        <s:v>910.74</s:v>
      </s:c>
      <s:c r="C20" s="6" t="s">
        <s:v>30</s:v>
      </s:c>
    </s:row>
    <s:row r="21" spans="1:3">
      <s:c r="A21" s="4">
        <s:v>46209</s:v>
      </s:c>
      <s:c r="B21" s="5">
        <s:v>130</s:v>
      </s:c>
      <s:c r="C21" s="6" t="s">
        <s:v>31</s:v>
      </s:c>
    </s:row>
    <s:row r="22" spans="1:3">
      <s:c r="A22" s="4">
        <s:v>46161</s:v>
      </s:c>
      <s:c r="B22" s="5">
        <s:v>437</s:v>
      </s:c>
      <s:c r="C22" s="3" t="s">
        <s:v>32</s:v>
      </s:c>
    </s:row>
    <s:row r="23" spans="1:3">
      <s:c r="A23" s="4">
        <s:v>46157</s:v>
      </s:c>
      <s:c r="B23" s="5">
        <s:v>390</s:v>
      </s:c>
      <s:c r="C23" s="3" t="s">
        <s:v>32</s:v>
      </s:c>
    </s:row>
    <s:row r="24" spans="1:3">
      <s:c r="A24" s="4">
        <s:v>46125</s:v>
      </s:c>
      <s:c r="B24" s="5">
        <s:v>386</s:v>
      </s:c>
      <s:c r="C24" s="3" t="s">
        <s:v>32</s:v>
      </s:c>
    </s:row>
    <s:row r="25" spans="1:3">
      <s:c r="A25" s="4">
        <s:v>46125</s:v>
      </s:c>
      <s:c r="B25" s="5">
        <s:v>600</s:v>
      </s:c>
      <s:c r="C25" s="6" t="s">
        <s:v>19</s:v>
      </s:c>
    </s:row>
    <s:row r="26" spans="1:3">
      <s:c r="A26" s="3"/>
      <s:c r="B26" s="5">
        <s:v>40222.57</s:v>
      </s:c>
      <s:c r="C26" s="3"/>
    </s:row>
    <s:row r="27" spans="1:3">
      <s:c r="A27" s="3"/>
      <s:c r="B27" s="3"/>
      <s:c r="C27" s="3"/>
    </s:row>
    <s:row r="28" spans="1:3">
      <s:c r="A28" s="3"/>
      <s:c r="B28" s="3"/>
      <s:c r="C28" s="3"/>
    </s:row>
  </s:sheetData>
  <s:pageMargins left="0.7" right="0.7" top="0.75" bottom="0.75" header="0.3" footer="0.3"/>
</s:worksheet>
</file>

<file path=xl/worksheets/sheet8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3"/>
  <s:dimension ref="A1:J3"/>
  <s:sheetViews>
    <s:sheetView tabSelected="0" workbookViewId="0"/>
  </s:sheetViews>
  <s:sheetFormatPr defaultColWidth="13.426" defaultRowHeight="14.25" customHeight="1"/>
  <s:sheetData>
    <s:row r="1" spans="1:10">
      <s:c r="A1" s="5">
        <s:v>2607131225</s:v>
      </s:c>
      <s:c r="B1" s="5">
        <s:v>158</s:v>
      </s:c>
      <s:c r="C1" s="3" t="s">
        <s:v>33</s:v>
      </s:c>
      <s:c r="D1" s="6" t="s">
        <s:v>34</s:v>
      </s:c>
      <s:c r="E1" s="3"/>
      <s:c r="F1" s="5">
        <s:v>2607131408</s:v>
      </s:c>
      <s:c r="G1" s="5">
        <s:v>1.505555556</s:v>
      </s:c>
      <s:c r="H1" s="7">
        <s:v>1.50555555555555</s:v>
      </s:c>
      <s:c r="I1" s="7">
        <s:v>1494.7166666666601</s:v>
      </s:c>
      <s:c r="J1" s="3"/>
    </s:row>
    <s:row r="2" spans="1:10">
      <s:c r="A2" s="5">
        <s:v>2607100852</s:v>
      </s:c>
      <s:c r="B2" s="5">
        <s:v>158</s:v>
      </s:c>
      <s:c r="C2" s="3" t="s">
        <s:v>33</s:v>
      </s:c>
      <s:c r="D2" s="6" t="s">
        <s:v>35</s:v>
      </s:c>
      <s:c r="E2" s="3"/>
      <s:c r="F2" s="5">
        <s:v>2607112100</s:v>
      </s:c>
      <s:c r="G2" s="5">
        <s:v>1.505555556</s:v>
      </s:c>
      <s:c r="H2" s="7">
        <s:v>1.50555555555555</s:v>
      </s:c>
      <s:c r="I2" s="7">
        <s:v>9547.1333333333296</s:v>
      </s:c>
      <s:c r="J2" s="3"/>
    </s:row>
    <s:row r="3" spans="1:10">
      <s:c r="A3" s="5">
        <s:v>2607090816</s:v>
      </s:c>
      <s:c r="B3" s="5">
        <s:v>44</s:v>
      </s:c>
      <s:c r="C3" s="3" t="s">
        <s:v>36</s:v>
      </s:c>
      <s:c r="D3" s="6" t="s">
        <s:v>37</s:v>
      </s:c>
      <s:c r="E3" s="3"/>
      <s:c r="F3" s="5">
        <s:v>2607131840</s:v>
      </s:c>
      <s:c r="G3" s="3"/>
      <s:c r="H3" s="3"/>
      <s:c r="I3" s="3"/>
      <s:c r="J3" s="3"/>
    </s:row>
  </s:sheetData>
  <s:pageMargins left="0.7" right="0.7" top="0.75" bottom="0.75" header="0.3" footer="0.3"/>
</s:worksheet>
</file>

<file path=xl/worksheets/sheet9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4"/>
  <s:dimension ref="A1:C10"/>
  <s:sheetViews>
    <s:sheetView tabSelected="0" workbookViewId="0"/>
  </s:sheetViews>
  <s:sheetFormatPr defaultColWidth="13.426" defaultRowHeight="14.25" customHeight="1"/>
  <s:sheetData>
    <s:row r="1" spans="1:3">
      <s:c r="A1" s="4">
        <s:v>46282</s:v>
      </s:c>
      <s:c r="B1" s="3" t="s">
        <s:v>45</s:v>
      </s:c>
      <s:c r="C1" s="8" t="s">
        <s:v>49</s:v>
      </s:c>
    </s:row>
    <s:row r="2" spans="1:3">
      <s:c r="A2" s="4">
        <s:v>46272</s:v>
      </s:c>
      <s:c r="B2" s="3" t="s">
        <s:v>45</s:v>
      </s:c>
      <s:c r="C2" s="8" t="s">
        <s:v>50</s:v>
      </s:c>
    </s:row>
    <s:row r="3" spans="1:3">
      <s:c r="A3" s="4">
        <s:v>46272</s:v>
      </s:c>
      <s:c r="B3" s="6" t="s">
        <s:v>47</s:v>
      </s:c>
      <s:c r="C3" s="9" t="s">
        <s:v>58</s:v>
      </s:c>
    </s:row>
    <s:row r="4" spans="1:3">
      <s:c r="A4" s="5" t="s">
        <s:v>48</s:v>
      </s:c>
      <s:c r="B4" s="6" t="s">
        <s:v>47</s:v>
      </s:c>
      <s:c r="C4" s="9" t="s">
        <s:v>57</s:v>
      </s:c>
    </s:row>
    <s:row r="5" spans="1:3">
      <s:c r="A5" s="4">
        <s:v>46268</s:v>
      </s:c>
      <s:c r="B5" s="6" t="s">
        <s:v>47</s:v>
      </s:c>
      <s:c r="C5" s="9" t="s">
        <s:v>56</s:v>
      </s:c>
    </s:row>
    <s:row r="6" spans="1:3">
      <s:c r="A6" s="4">
        <s:v>46265</s:v>
      </s:c>
      <s:c r="B6" s="3" t="s">
        <s:v>46</s:v>
      </s:c>
      <s:c r="C6" s="9" t="s">
        <s:v>55</s:v>
      </s:c>
    </s:row>
    <s:row r="7" spans="1:3">
      <s:c r="A7" s="4">
        <s:v>46265</s:v>
      </s:c>
      <s:c r="B7" s="3" t="s">
        <s:v>45</s:v>
      </s:c>
      <s:c r="C7" s="8" t="s">
        <s:v>51</s:v>
      </s:c>
    </s:row>
    <s:row r="8" spans="1:3">
      <s:c r="A8" s="4">
        <s:v>46261</s:v>
      </s:c>
      <s:c r="B8" s="3" t="s">
        <s:v>44</s:v>
      </s:c>
      <s:c r="C8" s="8" t="s">
        <s:v>54</s:v>
      </s:c>
    </s:row>
    <s:row r="9" spans="1:3">
      <s:c r="A9" s="4">
        <s:v>46227</s:v>
      </s:c>
      <s:c r="B9" s="3" t="s">
        <s:v>44</s:v>
      </s:c>
      <s:c r="C9" s="8" t="s">
        <s:v>53</s:v>
      </s:c>
    </s:row>
    <s:row r="10" spans="1:3">
      <s:c r="A10" s="4">
        <s:v>46209</s:v>
      </s:c>
      <s:c r="B10" s="3" t="s">
        <s:v>43</s:v>
      </s:c>
      <s:c r="C10" s="9" t="s">
        <s:v>52</s:v>
      </s:c>
    </s:row>
  </s:sheetData>
  <s:pageMargins left="0.7" right="0.7" top="0.75" bottom="0.75" header="0.3" footer="0.3"/>
</s:worksheet>
</file>

<file path=xl/worksheets/sheet10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5"/>
  <s:dimension ref="A1:D5"/>
  <s:sheetViews>
    <s:sheetView tabSelected="0" workbookViewId="0"/>
  </s:sheetViews>
  <s:sheetFormatPr defaultColWidth="13.426" defaultRowHeight="14.25" customHeight="1"/>
  <s:cols>
    <s:col min="2" max="2" width="57" customWidth="1"/>
  </s:cols>
  <s:sheetData>
    <s:row r="1" spans="1:4">
      <s:c r="A1" s="4">
        <s:v>46217</s:v>
      </s:c>
      <s:c r="B1" s="6" t="s">
        <s:v>38</s:v>
      </s:c>
      <s:c r="C1" s="6"/>
      <s:c r="D1" s="3"/>
    </s:row>
    <s:row r="2" spans="1:4">
      <s:c r="A2" s="4">
        <s:v>46216</s:v>
      </s:c>
      <s:c r="B2" s="6" t="s">
        <s:v>39</s:v>
      </s:c>
      <s:c r="C2" s="6"/>
      <s:c r="D2" s="6"/>
    </s:row>
    <s:row r="3" spans="1:4">
      <s:c r="A3" s="4">
        <s:v>46216</s:v>
      </s:c>
      <s:c r="B3" s="6" t="s">
        <s:v>40</s:v>
      </s:c>
      <s:c r="C3" s="6"/>
      <s:c r="D3" s="3"/>
    </s:row>
    <s:row r="4" spans="1:4">
      <s:c r="A4" s="4">
        <s:v>46214</s:v>
      </s:c>
      <s:c r="B4" s="6" t="s">
        <s:v>41</s:v>
      </s:c>
      <s:c r="C4" s="6"/>
      <s:c r="D4" s="3"/>
    </s:row>
    <s:row r="5" spans="1:4">
      <s:c r="A5" s="4">
        <s:v>46214</s:v>
      </s:c>
      <s:c r="B5" s="6" t="s">
        <s:v>42</s:v>
      </s:c>
      <s:c r="C5" s="3"/>
      <s:c r="D5" s="3"/>
    </s:row>
  </s:sheetData>
  <s:pageMargins left="0.7" right="0.7" top="0.75" bottom="0.75" header="0.3" footer="0.3"/>
</s:worksheet>
</file>

<file path=xl/worksheets/sheet11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6"/>
  <s:dimension ref="A1:B4"/>
  <s:sheetViews>
    <s:sheetView tabSelected="0" workbookViewId="0"/>
  </s:sheetViews>
  <s:sheetFormatPr defaultColWidth="13.426" defaultRowHeight="14.25" customHeight="1"/>
  <s:sheetData>
    <s:row r="1" spans="1:2">
      <s:c r="A1" t="s">
        <s:v>61</s:v>
      </s:c>
    </s:row>
    <s:row r="2" spans="1:2">
      <s:c r="A2" t="s">
        <s:v>62</s:v>
      </s:c>
      <s:c r="B2" t="s">
        <s:v>64</s:v>
      </s:c>
    </s:row>
    <s:row r="3" spans="1:2">
      <s:c r="B3" t="s">
        <s:v>65</s:v>
      </s:c>
    </s:row>
    <s:row r="4" spans="1:2">
      <s:c r="A4" t="s">
        <s:v>63</s:v>
      </s:c>
    </s:row>
  </s:sheetData>
  <s:pageMargins left="0.7" right="0.7" top="0.75" bottom="0.75" header="0.3" footer="0.3"/>
</s:worksheet>
</file>

<file path=xl/worksheets/sheet12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7"/>
  <s:dimension ref="A1:C20"/>
  <s:sheetViews>
    <s:sheetView tabSelected="0" workbookViewId="0"/>
  </s:sheetViews>
  <s:sheetFormatPr defaultColWidth="13.426" defaultRowHeight="14.25" customHeight="1"/>
  <s:sheetData>
    <s:row r="1" spans="1:3">
      <s:c r="A1" s="10" t="s">
        <s:v>66</s:v>
      </s:c>
      <s:c r="B1" s="11" t="s">
        <s:v>67</s:v>
      </s:c>
    </s:row>
    <s:row r="2" spans="1:3">
      <s:c r="A2" s="13">
        <s:f ca="1">TODAY()</s:f>
        <s:v>46285</s:v>
      </s:c>
      <s:c r="B2" s="11" t="s">
        <s:v>68</s:v>
      </s:c>
      <s:c r="C2" s="12"/>
    </s:row>
    <s:row r="3" spans="1:3">
      <s:c r="C3" s="11"/>
    </s:row>
    <s:row r="4" spans="1:3">
      <s:c r="A4" s="10" t="s">
        <s:v>69</s:v>
      </s:c>
    </s:row>
    <s:row r="5" spans="1:3">
      <s:c r="A5" s="10">
        <s:f>COUNTA(Задачи1!A:A)-1</s:f>
        <s:v>2</s:v>
      </s:c>
      <s:c r="B5" s="11" t="s">
        <s:v>70</s:v>
      </s:c>
      <s:c r="C5" s="12"/>
    </s:row>
    <s:row r="6" spans="1:3">
      <s:c r="A6" s="10" t="s">
        <s:v>71</s:v>
      </s:c>
      <s:c r="B6" s="11" t="s">
        <s:v>72</s:v>
      </s:c>
      <s:c r="C6" s="14">
        <s:f ca="1">COUNTIFS(Задачи1!E:E,"&lt;&gt;Готово",Задачи1!D:D,"&lt;"&amp;TODAY())</s:f>
        <s:v>0</s:v>
      </s:c>
    </s:row>
    <s:row r="7" spans="1:3">
      <s:c r="A7" s="10" t="s">
        <s:v>73</s:v>
      </s:c>
      <s:c r="B7" s="11" t="s">
        <s:v>74</s:v>
      </s:c>
      <s:c r="C7" s="14">
        <s:f ca="1">COUNTIF(Задачи1!D:D,TODAY())</s:f>
        <s:v>0</s:v>
      </s:c>
    </s:row>
    <s:row r="8" spans="1:3">
      <s:c r="A8" s="10" t="s">
        <s:v>75</s:v>
      </s:c>
      <s:c r="B8" s="11" t="s">
        <s:v>76</s:v>
      </s:c>
      <s:c r="C8" s="12">
        <s:f>COUNTIF(Задачи1!E:E,"В работе")</s:f>
        <s:v>0</s:v>
      </s:c>
    </s:row>
    <s:row r="9" spans="1:3">
      <s:c r="A9" s="10" t="s">
        <s:v>77</s:v>
      </s:c>
      <s:c r="B9" s="11" t="s">
        <s:v>78</s:v>
      </s:c>
      <s:c r="C9" s="12">
        <s:f>COUNTIF(Задачи1!E:E,"Готово")</s:f>
        <s:v>0</s:v>
      </s:c>
    </s:row>
    <s:row r="10" spans="1:3">
      <s:c r="A10" s="10" t="s">
        <s:v>79</s:v>
      </s:c>
      <s:c r="B10" s="10" t="s">
        <s:v>80</s:v>
      </s:c>
      <s:c r="C10" s="11"/>
    </s:row>
    <s:row r="11" spans="1:3">
      <s:c r="A11" s="10" t="s">
        <s:v>81</s:v>
      </s:c>
      <s:c r="B11" s="11" t="s">
        <s:v>82</s:v>
      </s:c>
      <s:c r="C11" s="12">
        <s:f>COUNTIF([1]Оценочный_лист!C:C,"Да")</s:f>
        <s:v>0</s:v>
      </s:c>
    </s:row>
    <s:row r="12" spans="1:3">
      <s:c r="A12" s="10" t="s">
        <s:v>83</s:v>
      </s:c>
      <s:c r="B12" s="11" t="s">
        <s:v>84</s:v>
      </s:c>
      <s:c r="C12" s="12">
        <s:f>COUNTA([1]Оценочный_лист!A:A)-1</s:f>
        <s:v>-1</s:v>
      </s:c>
    </s:row>
    <s:row r="13" spans="1:3">
      <s:c r="A13" s="10" t="s">
        <s:v>85</s:v>
      </s:c>
      <s:c r="B13" s="11" t="s">
        <s:v>86</s:v>
      </s:c>
      <s:c r="C13" s="12" t="e">
        <s:f>A12/A13 (формат: процент)</s:f>
        <s:v>#VALUE!</s:v>
      </s:c>
    </s:row>
    <s:row r="14" spans="1:3">
      <s:c r="A14" s="10" t="s">
        <s:v>87</s:v>
      </s:c>
      <s:c r="B14" s="10" t="s">
        <s:v>88</s:v>
      </s:c>
      <s:c r="C14" s="11"/>
    </s:row>
    <s:row r="15" spans="1:3">
      <s:c r="A15" s="10" t="s">
        <s:v>89</s:v>
      </s:c>
      <s:c r="B15" s="11" t="s">
        <s:v>90</s:v>
      </s:c>
      <s:c r="C15" s="12">
        <s:f>COUNTA(#REF!)-1</s:f>
        <s:v>0</s:v>
      </s:c>
    </s:row>
    <s:row r="16" spans="1:3">
      <s:c r="A16" s="10" t="s">
        <s:v>91</s:v>
      </s:c>
      <s:c r="B16" s="11" t="s">
        <s:v>92</s:v>
      </s:c>
      <s:c r="C16" s="12" t="e">
        <s:f>COUNTIF(#REF!,"")</s:f>
        <s:v>#REF!</s:v>
      </s:c>
    </s:row>
    <s:row r="17" spans="1:3">
      <s:c r="A17" s="10" t="s">
        <s:v>93</s:v>
      </s:c>
      <s:c r="B17" s="10" t="s">
        <s:v>94</s:v>
      </s:c>
      <s:c r="C17" s="11"/>
    </s:row>
    <s:row r="18" spans="1:3">
      <s:c r="A18" s="10" t="s">
        <s:v>95</s:v>
      </s:c>
      <s:c r="B18" s="11" t="s">
        <s:v>96</s:v>
      </s:c>
      <s:c r="C18" s="11" t="s">
        <s:v>97</s:v>
      </s:c>
    </s:row>
    <s:row r="19" spans="1:3">
      <s:c r="A19" s="10" t="s">
        <s:v>98</s:v>
      </s:c>
      <s:c r="B19" s="11" t="s">
        <s:v>99</s:v>
      </s:c>
      <s:c r="C19" s="12" t="e">
        <s:f>SUM(#REF!)</s:f>
        <s:v>#REF!</s:v>
      </s:c>
    </s:row>
    <s:row r="20" spans="1:3">
      <s:c r="A20" s="10" t="s">
        <s:v>100</s:v>
      </s:c>
      <s:c r="B20" s="11" t="s">
        <s:v>101</s:v>
      </s:c>
      <s:c r="C20" s="11" t="s">
        <s:v>97</s:v>
      </s:c>
    </s:row>
  </s:sheetData>
  <s:pageMargins left="0.7" right="0.7" top="0.75" bottom="0.75" header="0.3" footer="0.3"/>
</s:worksheet>
</file>

<file path=xl/worksheets/sheet13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 codeName="Лист10"/>
  <s:dimension ref="A1:C22"/>
  <s:sheetViews>
    <s:sheetView tabSelected="0" workbookViewId="0"/>
  </s:sheetViews>
  <s:sheetFormatPr defaultColWidth="13.426" defaultRowHeight="14.25" customHeight="1"/>
  <s:sheetData>
    <s:row r="1" spans="1:3">
      <s:c r="A1" s="15" t="s">
        <s:v>102</s:v>
      </s:c>
      <s:c r="B1" s="15" t="s">
        <s:v>118</s:v>
      </s:c>
      <s:c r="C1" s="15" t="s">
        <s:v>119</s:v>
      </s:c>
    </s:row>
    <s:row r="2" spans="1:3">
      <s:c r="A2" s="11" t="s">
        <s:v>120</s:v>
      </s:c>
      <s:c r="B2" s="11" t="s">
        <s:v>121</s:v>
      </s:c>
      <s:c r="C2" s="11" t="s">
        <s:v>122</s:v>
      </s:c>
    </s:row>
    <s:row r="3" spans="1:3">
      <s:c r="A3" s="11" t="s">
        <s:v>123</s:v>
      </s:c>
      <s:c r="B3" s="11" t="s">
        <s:v>124</s:v>
      </s:c>
      <s:c r="C3" s="11" t="s">
        <s:v>122</s:v>
      </s:c>
    </s:row>
    <s:row r="4" spans="1:3">
      <s:c r="A4" s="11" t="s">
        <s:v>125</s:v>
      </s:c>
      <s:c r="B4" s="11" t="s">
        <s:v>126</s:v>
      </s:c>
      <s:c r="C4" s="11" t="s">
        <s:v>122</s:v>
      </s:c>
    </s:row>
    <s:row r="5" spans="1:3">
      <s:c r="A5" s="11" t="s">
        <s:v>127</s:v>
      </s:c>
      <s:c r="B5" s="11" t="s">
        <s:v>128</s:v>
      </s:c>
      <s:c r="C5" s="11" t="s">
        <s:v>122</s:v>
      </s:c>
    </s:row>
    <s:row r="6" spans="1:3">
      <s:c r="A6" s="11" t="s">
        <s:v>129</s:v>
      </s:c>
      <s:c r="B6" s="11" t="s">
        <s:v>130</s:v>
      </s:c>
      <s:c r="C6" s="11" t="s">
        <s:v>122</s:v>
      </s:c>
    </s:row>
    <s:row r="7" spans="1:3">
      <s:c r="A7" s="11" t="s">
        <s:v>131</s:v>
      </s:c>
      <s:c r="B7" s="11" t="s">
        <s:v>132</s:v>
      </s:c>
      <s:c r="C7" s="11" t="s">
        <s:v>122</s:v>
      </s:c>
    </s:row>
    <s:row r="8" spans="1:3">
      <s:c r="A8" s="11" t="s">
        <s:v>133</s:v>
      </s:c>
      <s:c r="B8" s="11" t="s">
        <s:v>134</s:v>
      </s:c>
      <s:c r="C8" s="11" t="s">
        <s:v>122</s:v>
      </s:c>
    </s:row>
    <s:row r="9" spans="1:3">
      <s:c r="A9" s="11" t="s">
        <s:v>135</s:v>
      </s:c>
      <s:c r="B9" s="11" t="s">
        <s:v>136</s:v>
      </s:c>
      <s:c r="C9" s="11" t="s">
        <s:v>122</s:v>
      </s:c>
    </s:row>
    <s:row r="10" spans="1:3">
      <s:c r="A10" s="11" t="s">
        <s:v>137</s:v>
      </s:c>
      <s:c r="B10" s="11" t="s">
        <s:v>138</s:v>
      </s:c>
      <s:c r="C10" s="11" t="s">
        <s:v>122</s:v>
      </s:c>
    </s:row>
    <s:row r="11" spans="1:3">
      <s:c r="A11" s="16" t="s">
        <s:v>158</s:v>
      </s:c>
      <s:c r="B11" s="11" t="s">
        <s:v>139</s:v>
      </s:c>
      <s:c r="C11" s="11" t="s">
        <s:v>122</s:v>
      </s:c>
    </s:row>
    <s:row r="12" spans="1:3">
      <s:c r="A12" s="11" t="s">
        <s:v>140</s:v>
      </s:c>
      <s:c r="B12" s="11" t="s">
        <s:v>141</s:v>
      </s:c>
      <s:c r="C12" s="11" t="s">
        <s:v>122</s:v>
      </s:c>
    </s:row>
    <s:row r="13" spans="1:3">
      <s:c r="A13" s="11" t="s">
        <s:v>142</s:v>
      </s:c>
      <s:c r="B13" s="11" t="s">
        <s:v>143</s:v>
      </s:c>
      <s:c r="C13" s="11" t="s">
        <s:v>144</s:v>
      </s:c>
    </s:row>
    <s:row r="14" spans="1:3">
      <s:c r="A14" s="11" t="s">
        <s:v>145</s:v>
      </s:c>
      <s:c r="B14" s="11" t="s">
        <s:v>146</s:v>
      </s:c>
      <s:c r="C14" s="11" t="s">
        <s:v>144</s:v>
      </s:c>
    </s:row>
    <s:row r="15" spans="1:3">
      <s:c r="A15" s="11" t="s">
        <s:v>147</s:v>
      </s:c>
      <s:c r="B15" s="11" t="s">
        <s:v>148</s:v>
      </s:c>
      <s:c r="C15" s="11" t="s">
        <s:v>144</s:v>
      </s:c>
    </s:row>
    <s:row r="16" spans="1:3">
      <s:c r="A16" s="11" t="s">
        <s:v>149</s:v>
      </s:c>
      <s:c r="B16" s="11" t="s">
        <s:v>150</s:v>
      </s:c>
      <s:c r="C16" s="11" t="s">
        <s:v>122</s:v>
      </s:c>
    </s:row>
    <s:row r="17" spans="1:3">
      <s:c r="A17" s="11" t="s">
        <s:v>151</s:v>
      </s:c>
      <s:c r="B17" s="11" t="s">
        <s:v>152</s:v>
      </s:c>
      <s:c r="C17" s="11" t="s">
        <s:v>122</s:v>
      </s:c>
    </s:row>
    <s:row r="18" spans="1:3">
      <s:c r="A18" s="17" t="s">
        <s:v>159</s:v>
      </s:c>
      <s:c r="B18" s="11" t="s">
        <s:v>153</s:v>
      </s:c>
      <s:c r="C18" s="11" t="s">
        <s:v>122</s:v>
      </s:c>
    </s:row>
    <s:row r="19" spans="1:3">
      <s:c r="A19" s="17" t="s">
        <s:v>160</s:v>
      </s:c>
      <s:c r="B19" s="11" t="s">
        <s:v>154</s:v>
      </s:c>
      <s:c r="C19" s="11" t="s">
        <s:v>144</s:v>
      </s:c>
    </s:row>
    <s:row r="20" spans="1:3">
      <s:c r="A20" s="11">
        <s:v>3</s:v>
      </s:c>
      <s:c r="B20" s="11" t="s">
        <s:v>155</s:v>
      </s:c>
      <s:c r="C20" s="11" t="s">
        <s:v>122</s:v>
      </s:c>
    </s:row>
    <s:row r="21" spans="1:3">
      <s:c r="A21" s="11">
        <s:v>4</s:v>
      </s:c>
      <s:c r="B21" s="11" t="s">
        <s:v>156</s:v>
      </s:c>
      <s:c r="C21" s="11" t="s">
        <s:v>122</s:v>
      </s:c>
    </s:row>
    <s:row r="22" spans="1:3">
      <s:c r="A22" s="11">
        <s:v>5</s:v>
      </s:c>
      <s:c r="B22" s="11" t="s">
        <s:v>157</s:v>
      </s:c>
      <s:c r="C22" s="11" t="s">
        <s:v>122</s:v>
      </s:c>
    </s:row>
  </s:sheetData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13</vt:i4>
      </vt:variant>
    </vt:vector>
  </ep:HeadingPairs>
  <ep:TitlesOfParts>
    <vt:vector size="13" baseType="lpstr">
      <vt:lpstr>Финансы</vt:lpstr>
      <vt:lpstr>Переписка</vt:lpstr>
      <vt:lpstr>Оценочный_лист</vt:lpstr>
      <vt:lpstr>Задачи</vt:lpstr>
      <vt:lpstr>Дашборд</vt:lpstr>
      <vt:lpstr>Лифты</vt:lpstr>
      <vt:lpstr>Расходы</vt:lpstr>
      <vt:lpstr>Заявки</vt:lpstr>
      <vt:lpstr>Письма</vt:lpstr>
      <vt:lpstr>Выполненые работы</vt:lpstr>
      <vt:lpstr>Задачи1</vt:lpstr>
      <vt:lpstr>Лист1</vt:lpstr>
      <vt:lpstr>Оценочный лист</vt:lpstr>
    </vt:vector>
  </ep:TitlesOfParts>
  <ep:LinksUpToDate>false</ep:LinksUpToDate>
  <ep:SharedDoc>false</ep:SharedDoc>
  <ep:HyperlinksChanged>false</ep:HyperlinksChanged>
  <ep:AppVersion>14.0300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>Nikita Pachkovskiy</dc:creator>
  <cp:lastModifiedBy>Nikita Pachkovskiy</cp:lastModifiedBy>
  <dcterms:created xsi:type="dcterms:W3CDTF">2024-11-07T07:51:35Z</dcterms:created>
  <dcterms:modified xsi:type="dcterms:W3CDTF">2026-09-19T20:14:11Z</dcterms:modified>
</cp:coreProperties>
</file>